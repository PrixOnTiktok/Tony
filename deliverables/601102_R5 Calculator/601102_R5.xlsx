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lsna.sharepoint.com/sites/OLS-NA/Shared Documents/General/07 - Engineering/09 - Car Frame Calculators/Car Frames/601/"/>
    </mc:Choice>
  </mc:AlternateContent>
  <xr:revisionPtr revIDLastSave="58" documentId="10_ncr:8000_{D02C0AF3-74EF-4462-96B3-01744A6D2967}" xr6:coauthVersionLast="47" xr6:coauthVersionMax="47" xr10:uidLastSave="{BB59FB3A-34CE-4880-8601-985196C1C09B}"/>
  <workbookProtection workbookPassword="EE2A" lockStructure="1"/>
  <bookViews>
    <workbookView xWindow="67080" yWindow="-285" windowWidth="29040" windowHeight="15720" xr2:uid="{00000000-000D-0000-FFFF-FFFF00000000}"/>
  </bookViews>
  <sheets>
    <sheet name="601 RP - CAR FRAME CALCULATION" sheetId="8" r:id="rId1"/>
  </sheets>
  <definedNames>
    <definedName name="_xlnm.Print_Area" localSheetId="0">'601 RP - CAR FRAME CALCULATION'!$A$1:$X$68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8" l="1"/>
  <c r="I27" i="8"/>
  <c r="I26" i="8"/>
  <c r="C99" i="8" l="1"/>
  <c r="I105" i="8" l="1"/>
  <c r="J6" i="8" s="1"/>
  <c r="P1" i="8" s="1"/>
  <c r="I104" i="8"/>
  <c r="M4" i="8" s="1"/>
  <c r="E59" i="8"/>
  <c r="E33" i="8"/>
  <c r="K77" i="8" s="1"/>
  <c r="C102" i="8"/>
  <c r="E39" i="8" s="1"/>
  <c r="E37" i="8" s="1"/>
  <c r="N77" i="8"/>
  <c r="A9" i="8" s="1"/>
  <c r="C96" i="8"/>
  <c r="K20" i="8" s="1"/>
  <c r="B71" i="8"/>
  <c r="E43" i="8"/>
  <c r="I12" i="8"/>
  <c r="E35" i="8" l="1"/>
  <c r="E53" i="8" s="1"/>
  <c r="E75" i="8"/>
  <c r="L20" i="8"/>
  <c r="J20" i="8"/>
  <c r="E77" i="8"/>
  <c r="E79" i="8"/>
  <c r="E83" i="8"/>
  <c r="E90" i="8"/>
  <c r="E81" i="8"/>
  <c r="E86" i="8"/>
  <c r="E88" i="8"/>
  <c r="E91" i="8" l="1"/>
  <c r="E61" i="8" s="1"/>
  <c r="L65" i="8" l="1"/>
  <c r="L61" i="8"/>
  <c r="L59" i="8"/>
  <c r="E65" i="8"/>
  <c r="L63" i="8" s="1"/>
  <c r="E63" i="8"/>
  <c r="E41" i="8" s="1"/>
  <c r="I106" i="8"/>
  <c r="A57" i="8" s="1"/>
  <c r="K101" i="8"/>
  <c r="E67" i="8" s="1"/>
  <c r="E45" i="8" l="1"/>
  <c r="E49" i="8"/>
  <c r="E51" i="8" s="1"/>
  <c r="E47" i="8"/>
  <c r="E31" i="8"/>
  <c r="K76" i="8" l="1"/>
  <c r="K78" i="8" s="1"/>
  <c r="A14" i="8" s="1"/>
  <c r="N70" i="8"/>
  <c r="N72" i="8" s="1"/>
  <c r="A13" i="8" l="1"/>
  <c r="L13" i="8"/>
  <c r="M13" i="8"/>
  <c r="J24" i="8"/>
</calcChain>
</file>

<file path=xl/sharedStrings.xml><?xml version="1.0" encoding="utf-8"?>
<sst xmlns="http://schemas.openxmlformats.org/spreadsheetml/2006/main" count="112" uniqueCount="89">
  <si>
    <t>OLS Inc.</t>
  </si>
  <si>
    <t>Dec 31, 2013.  601102_REV: 5</t>
  </si>
  <si>
    <t>2 Cochran Drive</t>
  </si>
  <si>
    <t>Ayr, On Canada, N0B 1E0</t>
  </si>
  <si>
    <t>T601 CAR FRAME  HOISTWAY LAYOUT</t>
  </si>
  <si>
    <t>OLS PART No.</t>
  </si>
  <si>
    <t xml:space="preserve">                     MODEL - </t>
  </si>
  <si>
    <t>MODEL -</t>
  </si>
  <si>
    <t>T601 CAR FRAME CALCULATIONS</t>
  </si>
  <si>
    <t>JOB NAME:</t>
  </si>
  <si>
    <t>JOB NO:</t>
  </si>
  <si>
    <t xml:space="preserve">PRINTED: </t>
  </si>
  <si>
    <t>GENERAL DATA</t>
  </si>
  <si>
    <t>A =</t>
  </si>
  <si>
    <t>in.</t>
  </si>
  <si>
    <t xml:space="preserve">Bottom under travel (BUT) minimum of 2 inches recommended </t>
  </si>
  <si>
    <t>B =</t>
  </si>
  <si>
    <t>Top over travel (TOT) - minimum of 3.00 inches - can be increased as required</t>
  </si>
  <si>
    <t>C =</t>
  </si>
  <si>
    <t>Thickness of platform including thickness of finished floor</t>
  </si>
  <si>
    <t>D =</t>
  </si>
  <si>
    <t>Pit depth</t>
  </si>
  <si>
    <t>E =</t>
  </si>
  <si>
    <t>Travel from bottom floor to top floor</t>
  </si>
  <si>
    <t>F =</t>
  </si>
  <si>
    <t>Cab height from carframe plank to highest point on cab minimum</t>
  </si>
  <si>
    <t>X =</t>
  </si>
  <si>
    <t>Cab height from Carframe plank to mounting braket (top unistrut)</t>
  </si>
  <si>
    <t>G =</t>
  </si>
  <si>
    <t>Overhead</t>
  </si>
  <si>
    <t>H =</t>
  </si>
  <si>
    <t>3.00" inch of clearance is recommended</t>
  </si>
  <si>
    <t>W1 =</t>
  </si>
  <si>
    <t>Lbs</t>
  </si>
  <si>
    <t>W2 =</t>
  </si>
  <si>
    <t>CALCULATIONS</t>
  </si>
  <si>
    <t>T =</t>
  </si>
  <si>
    <t>Sheave overhead clearance (Min 6" By Code)</t>
  </si>
  <si>
    <t>T2 =</t>
  </si>
  <si>
    <t>Cab overhead clearance (Min 6" By Code)</t>
  </si>
  <si>
    <t>J =</t>
  </si>
  <si>
    <t>Top of piston above the top floor when piston is rung out</t>
  </si>
  <si>
    <t>K =</t>
  </si>
  <si>
    <t>Top of piston above finished cab floor when piston is rung out</t>
  </si>
  <si>
    <t>L =</t>
  </si>
  <si>
    <t>Top of piston above car frame plank when pIston is rung out</t>
  </si>
  <si>
    <t>M =</t>
  </si>
  <si>
    <t>Pillar Height</t>
  </si>
  <si>
    <t>N =</t>
  </si>
  <si>
    <t>Total Hoistway</t>
  </si>
  <si>
    <t>O =</t>
  </si>
  <si>
    <t>Location of Pillar Bracket from pit floor</t>
  </si>
  <si>
    <t>P =</t>
  </si>
  <si>
    <t>Location of Jack Bracket from pit floor</t>
  </si>
  <si>
    <t>Total Rail Length (5" Extra above Sheave)</t>
  </si>
  <si>
    <t>qty</t>
  </si>
  <si>
    <t>Number of Rail Brackets (Based on 60 inch Max spacing)</t>
  </si>
  <si>
    <t xml:space="preserve">in. </t>
  </si>
  <si>
    <t>Rope Length each - (2 Required)</t>
  </si>
  <si>
    <t>JACK INFORMATION</t>
  </si>
  <si>
    <t>Jack Stroke Required</t>
  </si>
  <si>
    <r>
      <rPr>
        <sz val="11"/>
        <color theme="1"/>
        <rFont val="Calibri"/>
        <family val="2"/>
        <scheme val="minor"/>
      </rPr>
      <t xml:space="preserve">  psi</t>
    </r>
    <r>
      <rPr>
        <b/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No load static pressure</t>
    </r>
  </si>
  <si>
    <t>Q =</t>
  </si>
  <si>
    <t>Stroke of Jack Selected</t>
  </si>
  <si>
    <r>
      <rPr>
        <sz val="11"/>
        <color theme="1"/>
        <rFont val="Calibri"/>
        <family val="2"/>
        <scheme val="minor"/>
      </rPr>
      <t xml:space="preserve">  psi</t>
    </r>
    <r>
      <rPr>
        <b/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Full load static pressure</t>
    </r>
  </si>
  <si>
    <t>R =</t>
  </si>
  <si>
    <t>Collapsed length of jack</t>
  </si>
  <si>
    <r>
      <rPr>
        <sz val="11"/>
        <color theme="1"/>
        <rFont val="Calibri"/>
        <family val="2"/>
        <scheme val="minor"/>
      </rPr>
      <t xml:space="preserve">  gal </t>
    </r>
    <r>
      <rPr>
        <b/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Oil to fill jack</t>
    </r>
  </si>
  <si>
    <t>S =</t>
  </si>
  <si>
    <t>Piston extension for roping</t>
  </si>
  <si>
    <r>
      <rPr>
        <sz val="11"/>
        <color theme="1"/>
        <rFont val="Calibri"/>
        <family val="2"/>
        <scheme val="minor"/>
      </rPr>
      <t xml:space="preserve">  gal </t>
    </r>
    <r>
      <rPr>
        <b/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>Oil to fully extend piston</t>
    </r>
  </si>
  <si>
    <t>lb.</t>
  </si>
  <si>
    <t>Jack weight</t>
  </si>
  <si>
    <t>Jack Selection</t>
  </si>
  <si>
    <t>hoistway clearance</t>
  </si>
  <si>
    <t>calculated overhead</t>
  </si>
  <si>
    <t>OverHead</t>
  </si>
  <si>
    <t>IF(E21&gt;0,(C94+E20+E21+(E18-E19)+E36-E54-E58-10.709-E60-E24),0)</t>
  </si>
  <si>
    <t>IF(E21&gt;0,(C99+E20+E21+(E18-E19)+E39-E61-E63),0)</t>
  </si>
  <si>
    <t>Jack Weight</t>
  </si>
  <si>
    <t>80mm JACK WEIGHT</t>
  </si>
  <si>
    <t>pit depth requirement</t>
  </si>
  <si>
    <t xml:space="preserve"> jack @ 0 stroke</t>
  </si>
  <si>
    <t>(g1+g3)</t>
  </si>
  <si>
    <t>clearance on sheave and carframe</t>
  </si>
  <si>
    <t>jack wt. X stk./12</t>
  </si>
  <si>
    <t>(g2+g4)x (stroke/12)</t>
  </si>
  <si>
    <t>Piston Above Car plank</t>
  </si>
  <si>
    <t>Lux Home Elevators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</si>
</sst>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0.0"/>
    <numFmt numFmtId="166" formatCode="0.000"/>
    <numFmt numFmtId="167" formatCode="[$-F800]dddd\,\ mmmm\ dd\,\ yyyy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name val="Arial"/>
      <family val="2"/>
    </font>
    <font>
      <b/>
      <sz val="15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5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 val="double"/>
      <sz val="25"/>
      <color theme="1"/>
      <name val="Calibri"/>
      <family val="2"/>
      <scheme val="minor"/>
    </font>
    <font>
      <b/>
      <u val="double"/>
      <sz val="2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465926084170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24">
    <xf numFmtId="0" fontId="0" fillId="0" borderId="0" xfId="0"/>
    <xf numFmtId="0" fontId="0" fillId="3" borderId="0" xfId="0" applyFill="1"/>
    <xf numFmtId="164" fontId="0" fillId="3" borderId="0" xfId="0" applyNumberFormat="1" applyFill="1"/>
    <xf numFmtId="0" fontId="12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right"/>
    </xf>
    <xf numFmtId="2" fontId="0" fillId="3" borderId="0" xfId="0" applyNumberFormat="1" applyFill="1" applyAlignment="1">
      <alignment horizontal="right"/>
    </xf>
    <xf numFmtId="0" fontId="5" fillId="3" borderId="0" xfId="0" applyFont="1" applyFill="1"/>
    <xf numFmtId="2" fontId="6" fillId="3" borderId="0" xfId="0" applyNumberFormat="1" applyFont="1" applyFill="1" applyAlignment="1">
      <alignment horizontal="right"/>
    </xf>
    <xf numFmtId="2" fontId="15" fillId="3" borderId="0" xfId="0" applyNumberFormat="1" applyFont="1" applyFill="1"/>
    <xf numFmtId="0" fontId="15" fillId="3" borderId="0" xfId="0" applyFont="1" applyFill="1"/>
    <xf numFmtId="0" fontId="13" fillId="3" borderId="0" xfId="0" applyFont="1" applyFill="1"/>
    <xf numFmtId="165" fontId="0" fillId="3" borderId="0" xfId="0" applyNumberFormat="1" applyFill="1" applyAlignment="1">
      <alignment horizontal="center"/>
    </xf>
    <xf numFmtId="2" fontId="0" fillId="4" borderId="8" xfId="0" applyNumberFormat="1" applyFill="1" applyBorder="1" applyAlignment="1" applyProtection="1">
      <alignment horizontal="right"/>
      <protection locked="0"/>
    </xf>
    <xf numFmtId="0" fontId="1" fillId="3" borderId="0" xfId="0" applyFont="1" applyFill="1" applyAlignment="1">
      <alignment horizontal="right" vertical="center"/>
    </xf>
    <xf numFmtId="0" fontId="0" fillId="3" borderId="0" xfId="0" applyFill="1" applyAlignment="1">
      <alignment horizontal="center" vertical="center"/>
    </xf>
    <xf numFmtId="0" fontId="20" fillId="3" borderId="0" xfId="0" applyFont="1" applyFill="1"/>
    <xf numFmtId="2" fontId="0" fillId="3" borderId="0" xfId="0" applyNumberFormat="1" applyFill="1" applyAlignment="1" applyProtection="1">
      <alignment horizontal="right" vertical="center"/>
      <protection locked="0"/>
    </xf>
    <xf numFmtId="0" fontId="6" fillId="3" borderId="0" xfId="0" applyFont="1" applyFill="1" applyAlignment="1">
      <alignment horizontal="right"/>
    </xf>
    <xf numFmtId="0" fontId="20" fillId="3" borderId="0" xfId="0" applyFont="1" applyFill="1" applyAlignment="1">
      <alignment horizontal="center"/>
    </xf>
    <xf numFmtId="0" fontId="5" fillId="3" borderId="0" xfId="0" applyFont="1" applyFill="1" applyAlignment="1">
      <alignment horizontal="left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5" fillId="3" borderId="0" xfId="0" applyFont="1" applyFill="1" applyAlignment="1">
      <alignment horizontal="left"/>
    </xf>
    <xf numFmtId="0" fontId="0" fillId="5" borderId="0" xfId="0" applyFill="1"/>
    <xf numFmtId="0" fontId="14" fillId="6" borderId="0" xfId="0" applyFont="1" applyFill="1"/>
    <xf numFmtId="0" fontId="14" fillId="6" borderId="0" xfId="0" applyFont="1" applyFill="1" applyAlignment="1">
      <alignment vertical="center"/>
    </xf>
    <xf numFmtId="0" fontId="17" fillId="5" borderId="0" xfId="0" applyFont="1" applyFill="1"/>
    <xf numFmtId="0" fontId="18" fillId="5" borderId="0" xfId="0" applyFont="1" applyFill="1"/>
    <xf numFmtId="0" fontId="0" fillId="6" borderId="0" xfId="0" applyFill="1"/>
    <xf numFmtId="0" fontId="0" fillId="6" borderId="0" xfId="0" applyFill="1" applyAlignment="1">
      <alignment vertical="center"/>
    </xf>
    <xf numFmtId="0" fontId="1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0" fontId="5" fillId="0" borderId="0" xfId="0" applyFont="1"/>
    <xf numFmtId="0" fontId="0" fillId="2" borderId="0" xfId="0" applyFill="1"/>
    <xf numFmtId="2" fontId="0" fillId="8" borderId="8" xfId="0" applyNumberFormat="1" applyFill="1" applyBorder="1" applyAlignment="1">
      <alignment horizontal="right"/>
    </xf>
    <xf numFmtId="1" fontId="0" fillId="8" borderId="8" xfId="0" applyNumberFormat="1" applyFill="1" applyBorder="1" applyAlignment="1">
      <alignment horizontal="right"/>
    </xf>
    <xf numFmtId="2" fontId="14" fillId="8" borderId="8" xfId="0" applyNumberFormat="1" applyFont="1" applyFill="1" applyBorder="1" applyAlignment="1">
      <alignment horizontal="right"/>
    </xf>
    <xf numFmtId="0" fontId="14" fillId="5" borderId="0" xfId="0" applyFont="1" applyFill="1"/>
    <xf numFmtId="0" fontId="14" fillId="5" borderId="0" xfId="0" applyFont="1" applyFill="1" applyAlignment="1">
      <alignment vertical="center"/>
    </xf>
    <xf numFmtId="0" fontId="1" fillId="2" borderId="0" xfId="0" applyFont="1" applyFill="1" applyAlignment="1">
      <alignment horizontal="right"/>
    </xf>
    <xf numFmtId="1" fontId="0" fillId="2" borderId="0" xfId="0" applyNumberFormat="1" applyFill="1" applyAlignment="1">
      <alignment horizontal="right"/>
    </xf>
    <xf numFmtId="165" fontId="0" fillId="2" borderId="0" xfId="0" applyNumberFormat="1" applyFill="1" applyAlignment="1">
      <alignment horizontal="center"/>
    </xf>
    <xf numFmtId="0" fontId="5" fillId="2" borderId="0" xfId="0" applyFont="1" applyFill="1"/>
    <xf numFmtId="0" fontId="9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0" fillId="6" borderId="10" xfId="0" applyFill="1" applyBorder="1"/>
    <xf numFmtId="2" fontId="0" fillId="8" borderId="11" xfId="0" applyNumberFormat="1" applyFill="1" applyBorder="1" applyAlignment="1">
      <alignment horizontal="right"/>
    </xf>
    <xf numFmtId="0" fontId="1" fillId="5" borderId="0" xfId="0" applyFont="1" applyFill="1" applyAlignment="1">
      <alignment horizontal="right"/>
    </xf>
    <xf numFmtId="0" fontId="9" fillId="5" borderId="0" xfId="0" applyFont="1" applyFill="1"/>
    <xf numFmtId="0" fontId="9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/>
    </xf>
    <xf numFmtId="0" fontId="13" fillId="5" borderId="0" xfId="0" applyFont="1" applyFill="1"/>
    <xf numFmtId="0" fontId="5" fillId="5" borderId="0" xfId="0" applyFont="1" applyFill="1" applyAlignment="1">
      <alignment horizontal="left" wrapText="1"/>
    </xf>
    <xf numFmtId="0" fontId="22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right"/>
    </xf>
    <xf numFmtId="1" fontId="0" fillId="0" borderId="0" xfId="0" applyNumberFormat="1"/>
    <xf numFmtId="0" fontId="1" fillId="0" borderId="0" xfId="0" applyFont="1" applyAlignment="1">
      <alignment horizontal="center"/>
    </xf>
    <xf numFmtId="0" fontId="7" fillId="0" borderId="0" xfId="2" applyFont="1" applyAlignment="1">
      <alignment horizontal="left"/>
    </xf>
    <xf numFmtId="0" fontId="3" fillId="0" borderId="0" xfId="2" applyAlignment="1">
      <alignment horizontal="left"/>
    </xf>
    <xf numFmtId="2" fontId="0" fillId="0" borderId="0" xfId="0" applyNumberFormat="1"/>
    <xf numFmtId="0" fontId="8" fillId="0" borderId="0" xfId="2" applyFont="1" applyAlignment="1">
      <alignment horizontal="left"/>
    </xf>
    <xf numFmtId="0" fontId="3" fillId="0" borderId="0" xfId="3" applyAlignment="1">
      <alignment horizontal="left"/>
    </xf>
    <xf numFmtId="2" fontId="1" fillId="0" borderId="3" xfId="0" applyNumberFormat="1" applyFont="1" applyBorder="1" applyAlignment="1">
      <alignment horizontal="center"/>
    </xf>
    <xf numFmtId="0" fontId="23" fillId="3" borderId="0" xfId="0" applyFont="1" applyFill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2" fontId="14" fillId="8" borderId="8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vertical="center"/>
    </xf>
    <xf numFmtId="0" fontId="0" fillId="0" borderId="10" xfId="0" applyBorder="1"/>
    <xf numFmtId="0" fontId="0" fillId="5" borderId="10" xfId="0" applyFill="1" applyBorder="1"/>
    <xf numFmtId="2" fontId="0" fillId="5" borderId="0" xfId="0" applyNumberFormat="1" applyFill="1"/>
    <xf numFmtId="2" fontId="0" fillId="5" borderId="10" xfId="0" applyNumberFormat="1" applyFill="1" applyBorder="1"/>
    <xf numFmtId="0" fontId="5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9" fillId="2" borderId="0" xfId="0" applyFont="1" applyFill="1"/>
    <xf numFmtId="0" fontId="9" fillId="0" borderId="0" xfId="0" applyFont="1" applyAlignment="1">
      <alignment horizontal="center"/>
    </xf>
    <xf numFmtId="1" fontId="0" fillId="8" borderId="8" xfId="0" applyNumberFormat="1" applyFill="1" applyBorder="1" applyAlignment="1">
      <alignment horizontal="center"/>
    </xf>
    <xf numFmtId="2" fontId="0" fillId="8" borderId="8" xfId="0" applyNumberFormat="1" applyFill="1" applyBorder="1" applyAlignment="1">
      <alignment horizontal="center"/>
    </xf>
    <xf numFmtId="0" fontId="0" fillId="9" borderId="0" xfId="0" applyFill="1"/>
    <xf numFmtId="0" fontId="9" fillId="2" borderId="0" xfId="0" applyFont="1" applyFill="1" applyAlignment="1">
      <alignment horizontal="right" vertical="center"/>
    </xf>
    <xf numFmtId="1" fontId="0" fillId="4" borderId="8" xfId="0" applyNumberFormat="1" applyFill="1" applyBorder="1" applyAlignment="1" applyProtection="1">
      <alignment horizontal="right"/>
      <protection locked="0"/>
    </xf>
    <xf numFmtId="0" fontId="18" fillId="3" borderId="0" xfId="0" applyFont="1" applyFill="1" applyAlignment="1">
      <alignment horizontal="left" vertical="center"/>
    </xf>
    <xf numFmtId="1" fontId="5" fillId="3" borderId="0" xfId="0" applyNumberFormat="1" applyFont="1" applyFill="1"/>
    <xf numFmtId="1" fontId="15" fillId="3" borderId="0" xfId="0" applyNumberFormat="1" applyFont="1" applyFill="1" applyAlignment="1">
      <alignment horizontal="left"/>
    </xf>
    <xf numFmtId="0" fontId="2" fillId="0" borderId="0" xfId="1" applyAlignment="1">
      <alignment horizontal="center"/>
    </xf>
    <xf numFmtId="0" fontId="2" fillId="0" borderId="7" xfId="1" applyBorder="1" applyAlignment="1">
      <alignment horizontal="center"/>
    </xf>
    <xf numFmtId="0" fontId="2" fillId="0" borderId="3" xfId="1" applyBorder="1"/>
    <xf numFmtId="0" fontId="2" fillId="0" borderId="3" xfId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23" fillId="7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right"/>
    </xf>
    <xf numFmtId="0" fontId="9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16" fillId="0" borderId="1" xfId="0" applyFont="1" applyBorder="1" applyAlignment="1" applyProtection="1">
      <alignment horizontal="center" vertical="center"/>
      <protection locked="0"/>
    </xf>
    <xf numFmtId="164" fontId="16" fillId="0" borderId="1" xfId="0" applyNumberFormat="1" applyFont="1" applyBorder="1" applyAlignment="1" applyProtection="1">
      <alignment horizontal="center"/>
      <protection locked="0"/>
    </xf>
    <xf numFmtId="0" fontId="20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1" applyAlignment="1">
      <alignment horizontal="center"/>
    </xf>
    <xf numFmtId="0" fontId="2" fillId="0" borderId="7" xfId="1" applyBorder="1" applyAlignment="1">
      <alignment horizontal="center"/>
    </xf>
    <xf numFmtId="0" fontId="21" fillId="3" borderId="9" xfId="0" applyFont="1" applyFill="1" applyBorder="1" applyAlignment="1">
      <alignment horizontal="center" vertical="center"/>
    </xf>
    <xf numFmtId="167" fontId="19" fillId="0" borderId="1" xfId="0" applyNumberFormat="1" applyFont="1" applyBorder="1" applyAlignment="1">
      <alignment horizontal="center" vertical="center"/>
    </xf>
    <xf numFmtId="0" fontId="20" fillId="3" borderId="0" xfId="0" applyFont="1" applyFill="1" applyAlignment="1">
      <alignment horizontal="right"/>
    </xf>
    <xf numFmtId="0" fontId="5" fillId="3" borderId="0" xfId="0" applyFont="1" applyFill="1" applyAlignment="1">
      <alignment horizontal="left" wrapText="1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8" fillId="0" borderId="0" xfId="3" applyNumberFormat="1" applyFont="1" applyAlignment="1">
      <alignment horizontal="center"/>
    </xf>
    <xf numFmtId="0" fontId="10" fillId="0" borderId="1" xfId="0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9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617156</xdr:colOff>
      <xdr:row>0</xdr:row>
      <xdr:rowOff>69521</xdr:rowOff>
    </xdr:from>
    <xdr:to>
      <xdr:col>8</xdr:col>
      <xdr:colOff>1750630</xdr:colOff>
      <xdr:row>2</xdr:row>
      <xdr:rowOff>216906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55777" y="69521"/>
          <a:ext cx="1133474" cy="613563"/>
        </a:xfrm>
        <a:prstGeom prst="rect">
          <a:avLst/>
        </a:prstGeom>
        <a:noFill/>
      </xdr:spPr>
    </xdr:pic>
    <xdr:clientData/>
  </xdr:twoCellAnchor>
  <xdr:twoCellAnchor editAs="oneCell">
    <xdr:from>
      <xdr:col>15</xdr:col>
      <xdr:colOff>325712</xdr:colOff>
      <xdr:row>3</xdr:row>
      <xdr:rowOff>66675</xdr:rowOff>
    </xdr:from>
    <xdr:to>
      <xdr:col>23</xdr:col>
      <xdr:colOff>849587</xdr:colOff>
      <xdr:row>65</xdr:row>
      <xdr:rowOff>20484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190281" y="778313"/>
          <a:ext cx="5428703" cy="859056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720"/>
  <sheetViews>
    <sheetView tabSelected="1" topLeftCell="A6" zoomScale="93" zoomScaleNormal="93" workbookViewId="0">
      <selection activeCell="E25" sqref="E25"/>
    </sheetView>
  </sheetViews>
  <sheetFormatPr defaultColWidth="9.1796875" defaultRowHeight="14.5" x14ac:dyDescent="0.35"/>
  <cols>
    <col min="1" max="1" width="0.453125" style="29" customWidth="1"/>
    <col min="2" max="2" width="1.81640625" style="29" customWidth="1"/>
    <col min="3" max="3" width="3.26953125" style="29" customWidth="1"/>
    <col min="4" max="4" width="0.81640625" style="29" hidden="1" customWidth="1"/>
    <col min="5" max="5" width="6.7265625" style="29" customWidth="1"/>
    <col min="6" max="6" width="0.7265625" style="29" customWidth="1"/>
    <col min="7" max="7" width="1" style="29" customWidth="1"/>
    <col min="8" max="8" width="2.26953125" style="29" customWidth="1"/>
    <col min="9" max="9" width="27.54296875" style="29" customWidth="1"/>
    <col min="10" max="10" width="5.81640625" style="29" customWidth="1"/>
    <col min="11" max="11" width="2.1796875" style="29" customWidth="1"/>
    <col min="12" max="12" width="5.7265625" style="29" customWidth="1"/>
    <col min="13" max="13" width="15" style="29" customWidth="1"/>
    <col min="14" max="14" width="29" style="29" customWidth="1"/>
    <col min="15" max="15" width="0.7265625" style="49" hidden="1" customWidth="1"/>
    <col min="16" max="23" width="9.1796875" style="25"/>
    <col min="24" max="24" width="16.26953125" style="25" customWidth="1"/>
    <col min="25" max="80" width="9.1796875" style="74"/>
    <col min="81" max="107" width="9.1796875" style="25"/>
    <col min="108" max="16384" width="9.1796875" style="29"/>
  </cols>
  <sheetData>
    <row r="1" spans="1:24" ht="20" thickBot="1" x14ac:dyDescent="0.4">
      <c r="A1" s="24"/>
      <c r="B1" s="27" t="s">
        <v>0</v>
      </c>
      <c r="C1" s="27"/>
      <c r="D1" s="27"/>
      <c r="E1" s="28"/>
      <c r="F1" s="28"/>
      <c r="G1" s="28"/>
      <c r="H1" s="28"/>
      <c r="I1" s="24"/>
      <c r="J1" s="24"/>
      <c r="K1" s="105" t="s">
        <v>1</v>
      </c>
      <c r="L1" s="105"/>
      <c r="M1" s="105"/>
      <c r="N1" s="105"/>
      <c r="O1" s="51"/>
      <c r="P1" s="97" t="str">
        <f>J6</f>
        <v>RPA 7FT CAR FRAME</v>
      </c>
      <c r="Q1" s="97"/>
      <c r="R1" s="97"/>
      <c r="S1" s="97"/>
      <c r="T1" s="97"/>
      <c r="U1" s="97"/>
      <c r="V1" s="97"/>
      <c r="W1" s="97"/>
      <c r="X1" s="97"/>
    </row>
    <row r="2" spans="1:24" ht="16" thickTop="1" x14ac:dyDescent="0.35">
      <c r="A2" s="24"/>
      <c r="B2" s="27" t="s">
        <v>2</v>
      </c>
      <c r="C2" s="27"/>
      <c r="D2" s="27"/>
      <c r="E2" s="28"/>
      <c r="F2" s="28"/>
      <c r="G2" s="28"/>
      <c r="H2" s="28"/>
      <c r="I2" s="24"/>
      <c r="J2" s="24"/>
      <c r="K2" s="24"/>
      <c r="L2" s="24"/>
      <c r="M2" s="24"/>
      <c r="N2" s="24"/>
      <c r="O2" s="24"/>
      <c r="P2" s="1"/>
      <c r="Q2" s="1"/>
      <c r="R2" s="1"/>
      <c r="S2" s="1"/>
      <c r="T2" s="1"/>
      <c r="U2" s="1"/>
      <c r="V2" s="1"/>
      <c r="W2" s="1"/>
      <c r="X2" s="1"/>
    </row>
    <row r="3" spans="1:24" ht="19" thickBot="1" x14ac:dyDescent="0.5">
      <c r="A3" s="24"/>
      <c r="B3" s="27" t="s">
        <v>3</v>
      </c>
      <c r="C3" s="27"/>
      <c r="D3" s="27"/>
      <c r="E3" s="28"/>
      <c r="F3" s="28"/>
      <c r="G3" s="28"/>
      <c r="H3" s="28"/>
      <c r="I3" s="24"/>
      <c r="J3" s="24"/>
      <c r="K3" s="24"/>
      <c r="L3" s="24"/>
      <c r="M3" s="24"/>
      <c r="N3" s="24"/>
      <c r="O3" s="24"/>
      <c r="P3" s="98" t="s">
        <v>4</v>
      </c>
      <c r="Q3" s="98"/>
      <c r="R3" s="98"/>
      <c r="S3" s="98"/>
      <c r="T3" s="98"/>
      <c r="U3" s="98"/>
      <c r="V3" s="98"/>
      <c r="W3" s="98"/>
      <c r="X3" s="98"/>
    </row>
    <row r="4" spans="1:24" ht="16.5" customHeight="1" thickTop="1" x14ac:dyDescent="0.45">
      <c r="A4" s="102" t="s">
        <v>5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82">
        <f>IF(E22&gt;0,I104,"")</f>
        <v>601000</v>
      </c>
      <c r="N4" s="83"/>
      <c r="O4" s="52"/>
      <c r="P4" s="24"/>
      <c r="Q4" s="24"/>
      <c r="R4" s="24"/>
      <c r="S4" s="24"/>
      <c r="T4" s="24"/>
      <c r="U4" s="24"/>
      <c r="V4" s="24"/>
      <c r="W4" s="24"/>
      <c r="X4" s="24"/>
    </row>
    <row r="5" spans="1:24" ht="2.5" hidden="1" customHeight="1" x14ac:dyDescent="0.4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53"/>
      <c r="P5" s="24"/>
      <c r="Q5" s="24"/>
      <c r="R5" s="24"/>
      <c r="S5" s="24"/>
      <c r="T5" s="24"/>
      <c r="U5" s="24"/>
      <c r="V5" s="24"/>
      <c r="W5" s="24"/>
      <c r="X5" s="24"/>
    </row>
    <row r="6" spans="1:24" ht="11.25" customHeight="1" x14ac:dyDescent="0.35">
      <c r="A6" s="88" t="s">
        <v>6</v>
      </c>
      <c r="B6" s="88"/>
      <c r="C6" s="88"/>
      <c r="D6" s="88"/>
      <c r="E6" s="88"/>
      <c r="F6" s="88"/>
      <c r="G6" s="88"/>
      <c r="H6" s="88"/>
      <c r="I6" s="88" t="s">
        <v>7</v>
      </c>
      <c r="J6" s="103" t="str">
        <f>IF(E22&gt;0,I105,"")</f>
        <v>RPA 7FT CAR FRAME</v>
      </c>
      <c r="K6" s="103"/>
      <c r="L6" s="103"/>
      <c r="M6" s="103"/>
      <c r="N6" s="103"/>
      <c r="O6" s="44"/>
      <c r="P6" s="24"/>
      <c r="Q6" s="24"/>
      <c r="R6" s="24"/>
      <c r="S6" s="24"/>
      <c r="T6" s="24"/>
      <c r="U6" s="24"/>
      <c r="V6" s="24"/>
      <c r="W6" s="24"/>
      <c r="X6" s="24"/>
    </row>
    <row r="7" spans="1:24" ht="3" hidden="1" customHeight="1" thickTop="1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spans="1:24" ht="18" customHeight="1" thickBot="1" x14ac:dyDescent="0.5">
      <c r="A8" s="98" t="s">
        <v>8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45"/>
      <c r="P8" s="24"/>
      <c r="Q8" s="24"/>
      <c r="R8" s="24"/>
      <c r="S8" s="24"/>
      <c r="T8" s="24"/>
      <c r="U8" s="24"/>
      <c r="V8" s="24"/>
      <c r="W8" s="24"/>
      <c r="X8" s="24"/>
    </row>
    <row r="9" spans="1:24" ht="15.75" customHeight="1" thickTop="1" x14ac:dyDescent="0.35">
      <c r="A9" s="113" t="str">
        <f>IF(N77=0,"PLEASE COMPLETE DATA INPUT","")</f>
        <v/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46"/>
      <c r="P9" s="24"/>
      <c r="Q9" s="24"/>
      <c r="R9" s="24"/>
      <c r="S9" s="24"/>
      <c r="T9" s="24"/>
      <c r="U9" s="24"/>
      <c r="V9" s="24"/>
      <c r="W9" s="24"/>
      <c r="X9" s="24"/>
    </row>
    <row r="10" spans="1:24" ht="15.75" customHeight="1" x14ac:dyDescent="0.35">
      <c r="A10" s="1"/>
      <c r="B10" s="1"/>
      <c r="C10" s="106" t="s">
        <v>9</v>
      </c>
      <c r="D10" s="106"/>
      <c r="E10" s="106"/>
      <c r="F10" s="106"/>
      <c r="G10" s="106"/>
      <c r="H10" s="2"/>
      <c r="I10" s="107" t="s">
        <v>88</v>
      </c>
      <c r="J10" s="107"/>
      <c r="K10" s="107"/>
      <c r="L10" s="107"/>
      <c r="M10" s="107"/>
      <c r="N10" s="3"/>
      <c r="O10" s="54"/>
      <c r="P10" s="24"/>
      <c r="Q10" s="24"/>
      <c r="R10" s="24"/>
      <c r="S10" s="24"/>
      <c r="T10" s="24"/>
      <c r="U10" s="24"/>
      <c r="V10" s="24"/>
      <c r="W10" s="24"/>
      <c r="X10" s="24"/>
    </row>
    <row r="11" spans="1:24" ht="15" customHeight="1" x14ac:dyDescent="0.35">
      <c r="A11" s="1"/>
      <c r="B11" s="1"/>
      <c r="C11" s="106" t="s">
        <v>10</v>
      </c>
      <c r="D11" s="106"/>
      <c r="E11" s="106"/>
      <c r="F11" s="106"/>
      <c r="G11" s="106"/>
      <c r="H11" s="2"/>
      <c r="I11" s="108"/>
      <c r="J11" s="108"/>
      <c r="K11" s="108"/>
      <c r="L11" s="108"/>
      <c r="M11" s="108"/>
      <c r="N11" s="3"/>
      <c r="O11" s="54"/>
      <c r="P11" s="24"/>
      <c r="Q11" s="24"/>
      <c r="R11" s="24"/>
      <c r="S11" s="24"/>
      <c r="T11" s="24"/>
      <c r="U11" s="24"/>
      <c r="V11" s="24"/>
      <c r="W11" s="24"/>
      <c r="X11" s="24"/>
    </row>
    <row r="12" spans="1:24" ht="15" customHeight="1" x14ac:dyDescent="0.35">
      <c r="A12" s="1"/>
      <c r="B12" s="1"/>
      <c r="C12" s="106" t="s">
        <v>11</v>
      </c>
      <c r="D12" s="106"/>
      <c r="E12" s="106"/>
      <c r="F12" s="106"/>
      <c r="G12" s="106"/>
      <c r="H12" s="2"/>
      <c r="I12" s="114">
        <f ca="1">TODAY()</f>
        <v>46246</v>
      </c>
      <c r="J12" s="114"/>
      <c r="K12" s="114"/>
      <c r="L12" s="114"/>
      <c r="M12" s="114"/>
      <c r="N12" s="4"/>
      <c r="O12" s="47"/>
      <c r="P12" s="24"/>
      <c r="Q12" s="24"/>
      <c r="R12" s="24"/>
      <c r="S12" s="24"/>
      <c r="T12" s="24"/>
      <c r="U12" s="24"/>
      <c r="V12" s="24"/>
      <c r="W12" s="24"/>
      <c r="X12" s="24"/>
    </row>
    <row r="13" spans="1:24" ht="18.5" x14ac:dyDescent="0.45">
      <c r="A13" s="115" t="str">
        <f>IF(K78&gt;0,"INCREASE OVERHEAD BY","")</f>
        <v/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9" t="str">
        <f>IF(K78&gt;0,K78,"")</f>
        <v/>
      </c>
      <c r="M13" s="16" t="str">
        <f>IF(K78&gt;0,"inches","")</f>
        <v/>
      </c>
      <c r="N13" s="1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spans="1:24" ht="19" customHeight="1" x14ac:dyDescent="0.45">
      <c r="A14" s="109" t="str">
        <f>IF(K78&gt;0,"MINIMUM OF 6.00 INCHES OVERHEAD CLEARANCE REQUIRED BY CODE","")</f>
        <v/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55"/>
      <c r="P14" s="24"/>
      <c r="Q14" s="24"/>
      <c r="R14" s="24"/>
      <c r="S14" s="24"/>
      <c r="T14" s="24"/>
      <c r="U14" s="24"/>
      <c r="V14" s="24"/>
      <c r="W14" s="24"/>
      <c r="X14" s="24"/>
    </row>
    <row r="15" spans="1:24" ht="11.25" customHeight="1" x14ac:dyDescent="0.35">
      <c r="A15" s="104" t="s">
        <v>12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48"/>
      <c r="P15" s="24"/>
      <c r="Q15" s="24"/>
      <c r="R15" s="24"/>
      <c r="S15" s="24"/>
      <c r="T15" s="24"/>
      <c r="U15" s="24"/>
      <c r="V15" s="24"/>
      <c r="W15" s="24"/>
      <c r="X15" s="24"/>
    </row>
    <row r="16" spans="1:24" ht="5.15" customHeight="1" thickBot="1" x14ac:dyDescent="0.4">
      <c r="A16" s="1"/>
      <c r="B16" s="1"/>
      <c r="C16" s="1"/>
      <c r="D16" s="1"/>
      <c r="E16" s="18"/>
      <c r="F16" s="18"/>
      <c r="G16" s="1"/>
      <c r="H16" s="1"/>
      <c r="I16" s="1"/>
      <c r="J16" s="1"/>
      <c r="K16" s="1"/>
      <c r="L16" s="1"/>
      <c r="M16" s="1"/>
      <c r="N16" s="1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spans="1:24" ht="15" thickBot="1" x14ac:dyDescent="0.4">
      <c r="A17" s="1"/>
      <c r="B17" s="1"/>
      <c r="C17" s="5" t="s">
        <v>13</v>
      </c>
      <c r="D17" s="5"/>
      <c r="E17" s="13">
        <v>2</v>
      </c>
      <c r="F17" s="6"/>
      <c r="G17" s="1" t="s">
        <v>14</v>
      </c>
      <c r="H17" s="1"/>
      <c r="I17" s="116" t="s">
        <v>15</v>
      </c>
      <c r="J17" s="116"/>
      <c r="K17" s="116"/>
      <c r="L17" s="116"/>
      <c r="M17" s="116"/>
      <c r="N17" s="1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spans="1:24" ht="15" thickBot="1" x14ac:dyDescent="0.4">
      <c r="A18" s="1"/>
      <c r="B18" s="1"/>
      <c r="C18" s="5" t="s">
        <v>16</v>
      </c>
      <c r="D18" s="5"/>
      <c r="E18" s="13">
        <v>3</v>
      </c>
      <c r="F18" s="6"/>
      <c r="G18" s="1" t="s">
        <v>14</v>
      </c>
      <c r="H18" s="1"/>
      <c r="I18" s="7" t="s">
        <v>17</v>
      </c>
      <c r="J18" s="1"/>
      <c r="K18" s="1"/>
      <c r="L18" s="1"/>
      <c r="M18" s="1"/>
      <c r="N18" s="1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spans="1:24" ht="15" thickBot="1" x14ac:dyDescent="0.4">
      <c r="A19" s="1"/>
      <c r="B19" s="1"/>
      <c r="C19" s="5" t="s">
        <v>18</v>
      </c>
      <c r="D19" s="5"/>
      <c r="E19" s="13">
        <v>1</v>
      </c>
      <c r="F19" s="6"/>
      <c r="G19" s="1" t="s">
        <v>14</v>
      </c>
      <c r="H19" s="1"/>
      <c r="I19" s="7" t="s">
        <v>19</v>
      </c>
      <c r="J19" s="1"/>
      <c r="K19" s="1"/>
      <c r="L19" s="1"/>
      <c r="M19" s="1"/>
      <c r="N19" s="1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spans="1:24" ht="15" thickBot="1" x14ac:dyDescent="0.4">
      <c r="A20" s="1"/>
      <c r="B20" s="1"/>
      <c r="C20" s="5" t="s">
        <v>20</v>
      </c>
      <c r="D20" s="5"/>
      <c r="E20" s="13">
        <v>8</v>
      </c>
      <c r="F20" s="8"/>
      <c r="G20" s="1" t="s">
        <v>14</v>
      </c>
      <c r="H20" s="1"/>
      <c r="I20" s="7" t="s">
        <v>21</v>
      </c>
      <c r="J20" s="9" t="str">
        <f>IF(E20&lt;C96,C96,"")</f>
        <v/>
      </c>
      <c r="K20" s="9" t="str">
        <f>IF(E20&lt;C96,"in.","")</f>
        <v/>
      </c>
      <c r="L20" s="10" t="str">
        <f>IF(E20&lt;C96,"MINIMUM PIT DEPTH REQUIRED BASED ON INPUT A,B,C","")</f>
        <v/>
      </c>
      <c r="M20" s="10"/>
      <c r="N20" s="1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spans="1:24" ht="15" thickBot="1" x14ac:dyDescent="0.4">
      <c r="A21" s="1"/>
      <c r="B21" s="1"/>
      <c r="C21" s="5" t="s">
        <v>22</v>
      </c>
      <c r="D21" s="5"/>
      <c r="E21" s="13">
        <v>150</v>
      </c>
      <c r="F21" s="6"/>
      <c r="G21" s="1" t="s">
        <v>14</v>
      </c>
      <c r="H21" s="1"/>
      <c r="I21" s="7" t="s">
        <v>23</v>
      </c>
      <c r="J21" s="1"/>
      <c r="K21" s="1"/>
      <c r="L21" s="1"/>
      <c r="M21" s="1"/>
      <c r="N21" s="1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spans="1:24" ht="15" thickBot="1" x14ac:dyDescent="0.4">
      <c r="A22" s="1"/>
      <c r="B22" s="1"/>
      <c r="C22" s="5" t="s">
        <v>24</v>
      </c>
      <c r="D22" s="5"/>
      <c r="E22" s="13">
        <v>80</v>
      </c>
      <c r="F22" s="6"/>
      <c r="G22" s="1" t="s">
        <v>14</v>
      </c>
      <c r="H22" s="1"/>
      <c r="I22" s="7" t="s">
        <v>25</v>
      </c>
      <c r="J22" s="1"/>
      <c r="K22" s="1"/>
      <c r="L22" s="1"/>
      <c r="M22" s="1"/>
      <c r="N22" s="1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spans="1:24" ht="15" thickBot="1" x14ac:dyDescent="0.4">
      <c r="A23" s="1"/>
      <c r="B23" s="1"/>
      <c r="C23" s="5" t="s">
        <v>26</v>
      </c>
      <c r="D23" s="5"/>
      <c r="E23" s="13">
        <v>60</v>
      </c>
      <c r="F23" s="6"/>
      <c r="G23" s="1" t="s">
        <v>14</v>
      </c>
      <c r="H23" s="1"/>
      <c r="I23" s="7" t="s">
        <v>27</v>
      </c>
      <c r="J23" s="1"/>
      <c r="K23" s="1"/>
      <c r="L23" s="1"/>
      <c r="M23" s="1"/>
      <c r="N23" s="1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spans="1:24" ht="15" thickBot="1" x14ac:dyDescent="0.4">
      <c r="A24" s="1"/>
      <c r="B24" s="1"/>
      <c r="C24" s="5" t="s">
        <v>28</v>
      </c>
      <c r="D24" s="5"/>
      <c r="E24" s="13">
        <v>96.5</v>
      </c>
      <c r="F24" s="6"/>
      <c r="G24" s="1" t="s">
        <v>14</v>
      </c>
      <c r="H24" s="1"/>
      <c r="I24" s="7" t="s">
        <v>29</v>
      </c>
      <c r="J24" s="23" t="str">
        <f>IF(K80=0,"","&lt;==== INVALID OVERHEAD HEIGHT SEE ABOVE COMMENT")</f>
        <v/>
      </c>
      <c r="K24" s="23"/>
      <c r="L24" s="23"/>
      <c r="M24" s="1"/>
      <c r="N24" s="11"/>
      <c r="O24" s="56"/>
      <c r="P24" s="24"/>
      <c r="Q24" s="24"/>
      <c r="R24" s="24"/>
      <c r="S24" s="24"/>
      <c r="T24" s="24"/>
      <c r="U24" s="24"/>
      <c r="V24" s="24"/>
      <c r="W24" s="24"/>
      <c r="X24" s="24"/>
    </row>
    <row r="25" spans="1:24" ht="15" thickBot="1" x14ac:dyDescent="0.4">
      <c r="A25" s="1"/>
      <c r="B25" s="1"/>
      <c r="C25" s="5" t="s">
        <v>30</v>
      </c>
      <c r="D25" s="5"/>
      <c r="E25" s="13">
        <v>2</v>
      </c>
      <c r="F25" s="6"/>
      <c r="G25" s="1" t="s">
        <v>14</v>
      </c>
      <c r="H25" s="1"/>
      <c r="I25" s="7" t="s">
        <v>31</v>
      </c>
      <c r="J25" s="23"/>
      <c r="K25" s="23"/>
      <c r="L25" s="23"/>
      <c r="M25" s="1"/>
      <c r="N25" s="11"/>
      <c r="O25" s="56"/>
      <c r="P25" s="24"/>
      <c r="Q25" s="24"/>
      <c r="R25" s="24"/>
      <c r="S25" s="24"/>
      <c r="T25" s="24"/>
      <c r="U25" s="24"/>
      <c r="V25" s="24"/>
      <c r="W25" s="24"/>
      <c r="X25" s="24"/>
    </row>
    <row r="26" spans="1:24" ht="15" thickBot="1" x14ac:dyDescent="0.4">
      <c r="A26" s="1"/>
      <c r="B26" s="1"/>
      <c r="C26" s="5" t="s">
        <v>32</v>
      </c>
      <c r="D26" s="5"/>
      <c r="E26" s="89">
        <v>950</v>
      </c>
      <c r="F26" s="6"/>
      <c r="G26" s="1" t="s">
        <v>33</v>
      </c>
      <c r="H26" s="1"/>
      <c r="I26" s="91" t="str">
        <f>"Capacity (Max "&amp;(950+(729-E27))&amp; "Lbs)"</f>
        <v>Capacity (Max 950Lbs)</v>
      </c>
      <c r="J26" s="1"/>
      <c r="K26" s="1"/>
      <c r="L26" s="1"/>
      <c r="M26" s="11"/>
      <c r="N26" s="11"/>
      <c r="O26" s="56"/>
      <c r="P26" s="24"/>
      <c r="Q26" s="24"/>
      <c r="R26" s="24"/>
      <c r="S26" s="24"/>
      <c r="T26" s="24"/>
      <c r="U26" s="24"/>
      <c r="V26" s="24"/>
      <c r="W26" s="24"/>
      <c r="X26" s="24"/>
    </row>
    <row r="27" spans="1:24" ht="18" customHeight="1" thickBot="1" x14ac:dyDescent="0.4">
      <c r="A27" s="1"/>
      <c r="B27" s="1"/>
      <c r="C27" s="5" t="s">
        <v>34</v>
      </c>
      <c r="D27" s="5"/>
      <c r="E27" s="89">
        <v>729</v>
      </c>
      <c r="F27" s="6"/>
      <c r="G27" s="1" t="s">
        <v>33</v>
      </c>
      <c r="H27" s="1"/>
      <c r="I27" s="7" t="str">
        <f>"Cab weight (Max "&amp;(729+(950-E26))&amp; "Lbs)"</f>
        <v>Cab weight (Max 729Lbs)</v>
      </c>
      <c r="J27" s="23" t="str">
        <f>IF(E26+E27&gt;1679,"&lt;====TOTAL WEIGHT (W1 + W2) CAN'T EXCEED 1679 Lbs","")</f>
        <v/>
      </c>
      <c r="K27" s="23"/>
      <c r="L27" s="92"/>
      <c r="M27" s="1"/>
      <c r="N27" s="80"/>
      <c r="O27" s="57"/>
      <c r="P27" s="24"/>
      <c r="Q27" s="24"/>
      <c r="R27" s="24"/>
      <c r="S27" s="24"/>
      <c r="T27" s="24"/>
      <c r="U27" s="24"/>
      <c r="V27" s="24"/>
      <c r="W27" s="24"/>
      <c r="X27" s="24"/>
    </row>
    <row r="28" spans="1:24" ht="5.15" customHeight="1" x14ac:dyDescent="0.35">
      <c r="A28" s="1"/>
      <c r="B28" s="1"/>
      <c r="C28" s="14"/>
      <c r="D28" s="5"/>
      <c r="E28" s="17"/>
      <c r="F28" s="6"/>
      <c r="G28" s="15"/>
      <c r="H28" s="1"/>
      <c r="I28" s="20"/>
      <c r="J28" s="20"/>
      <c r="K28" s="20"/>
      <c r="L28" s="20"/>
      <c r="M28" s="20"/>
      <c r="N28" s="20"/>
      <c r="O28" s="57"/>
      <c r="P28" s="24"/>
      <c r="Q28" s="24"/>
      <c r="R28" s="24"/>
      <c r="S28" s="24"/>
      <c r="T28" s="24"/>
      <c r="U28" s="24"/>
      <c r="V28" s="24"/>
      <c r="W28" s="24"/>
      <c r="X28" s="24"/>
    </row>
    <row r="29" spans="1:24" ht="11.25" customHeight="1" x14ac:dyDescent="0.35">
      <c r="A29" s="104" t="s">
        <v>35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48"/>
      <c r="P29" s="24"/>
      <c r="Q29" s="24"/>
      <c r="R29" s="24"/>
      <c r="S29" s="24"/>
      <c r="T29" s="24"/>
      <c r="U29" s="24"/>
      <c r="V29" s="24"/>
      <c r="W29" s="24"/>
      <c r="X29" s="24"/>
    </row>
    <row r="30" spans="1:24" ht="5.15" customHeight="1" thickBot="1" x14ac:dyDescent="0.4">
      <c r="A30" s="1"/>
      <c r="B30" s="1"/>
      <c r="C30" s="5"/>
      <c r="D30" s="5"/>
      <c r="E30" s="6"/>
      <c r="F30" s="6"/>
      <c r="G30" s="1"/>
      <c r="H30" s="1"/>
      <c r="I30" s="7"/>
      <c r="J30" s="1"/>
      <c r="K30" s="1"/>
      <c r="L30" s="1"/>
      <c r="M30" s="1"/>
      <c r="N30" s="1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spans="1:24" ht="15" thickBot="1" x14ac:dyDescent="0.4">
      <c r="A31" s="1"/>
      <c r="B31" s="87"/>
      <c r="C31" s="5" t="s">
        <v>36</v>
      </c>
      <c r="D31" s="5"/>
      <c r="E31" s="37">
        <f>IF(E21&gt;0,(E43-15-E59-E65-E63-E41),0)</f>
        <v>7</v>
      </c>
      <c r="F31" s="6"/>
      <c r="G31" s="1" t="s">
        <v>14</v>
      </c>
      <c r="H31" s="1"/>
      <c r="I31" s="7" t="s">
        <v>37</v>
      </c>
      <c r="J31" s="1"/>
      <c r="K31" s="1"/>
      <c r="L31" s="1"/>
      <c r="M31" s="1"/>
      <c r="N31" s="1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spans="1:24" ht="2.5" customHeight="1" thickBot="1" x14ac:dyDescent="0.4">
      <c r="A32" s="1"/>
      <c r="B32" s="87"/>
      <c r="C32" s="5"/>
      <c r="D32" s="5"/>
      <c r="E32" s="6"/>
      <c r="F32" s="6"/>
      <c r="G32" s="1"/>
      <c r="H32" s="1"/>
      <c r="I32" s="7"/>
      <c r="J32" s="1"/>
      <c r="K32" s="1"/>
      <c r="L32" s="1"/>
      <c r="M32" s="1"/>
      <c r="N32" s="1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spans="1:24" ht="15.75" customHeight="1" thickBot="1" x14ac:dyDescent="0.4">
      <c r="A33" s="1"/>
      <c r="B33" s="87"/>
      <c r="C33" s="5" t="s">
        <v>38</v>
      </c>
      <c r="D33" s="5"/>
      <c r="E33" s="37">
        <f>IF(E21&gt;0,(E24-E22-E19),0)</f>
        <v>15.5</v>
      </c>
      <c r="F33" s="6"/>
      <c r="G33" s="1" t="s">
        <v>14</v>
      </c>
      <c r="H33" s="1"/>
      <c r="I33" s="7" t="s">
        <v>39</v>
      </c>
      <c r="J33" s="1"/>
      <c r="K33" s="1"/>
      <c r="L33" s="1"/>
      <c r="M33" s="1"/>
      <c r="N33" s="1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1:24" ht="2.5" customHeight="1" thickBot="1" x14ac:dyDescent="0.4">
      <c r="A34" s="1"/>
      <c r="B34" s="87"/>
      <c r="C34" s="5"/>
      <c r="D34" s="5"/>
      <c r="E34" s="6"/>
      <c r="F34" s="6"/>
      <c r="G34" s="1"/>
      <c r="H34" s="1"/>
      <c r="I34" s="7"/>
      <c r="J34" s="1"/>
      <c r="K34" s="1"/>
      <c r="L34" s="1"/>
      <c r="M34" s="1"/>
      <c r="N34" s="1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1:24" ht="15" thickBot="1" x14ac:dyDescent="0.4">
      <c r="A35" s="1"/>
      <c r="B35" s="87"/>
      <c r="C35" s="5" t="s">
        <v>40</v>
      </c>
      <c r="D35" s="5"/>
      <c r="E35" s="35">
        <f>IF(E21&gt;0,(E39+(E18-E19)),0)</f>
        <v>72.5</v>
      </c>
      <c r="F35" s="6"/>
      <c r="G35" s="1" t="s">
        <v>14</v>
      </c>
      <c r="H35" s="1"/>
      <c r="I35" s="7" t="s">
        <v>41</v>
      </c>
      <c r="J35" s="1"/>
      <c r="K35" s="1"/>
      <c r="L35" s="1"/>
      <c r="M35" s="1"/>
      <c r="N35" s="1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1:24" ht="2.5" customHeight="1" thickBot="1" x14ac:dyDescent="0.4">
      <c r="A36" s="1"/>
      <c r="B36" s="87"/>
      <c r="C36" s="5"/>
      <c r="D36" s="5"/>
      <c r="E36" s="6"/>
      <c r="F36" s="6"/>
      <c r="G36" s="1"/>
      <c r="H36" s="1"/>
      <c r="I36" s="7"/>
      <c r="J36" s="1"/>
      <c r="K36" s="1"/>
      <c r="L36" s="1"/>
      <c r="M36" s="1"/>
      <c r="N36" s="1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1:24" ht="15" thickBot="1" x14ac:dyDescent="0.4">
      <c r="A37" s="1"/>
      <c r="B37" s="87"/>
      <c r="C37" s="5" t="s">
        <v>42</v>
      </c>
      <c r="D37" s="5"/>
      <c r="E37" s="35">
        <f>IF(E21&gt;0,(E39-E19),0)</f>
        <v>69.5</v>
      </c>
      <c r="F37" s="6"/>
      <c r="G37" s="1" t="s">
        <v>14</v>
      </c>
      <c r="H37" s="1"/>
      <c r="I37" s="7" t="s">
        <v>43</v>
      </c>
      <c r="J37" s="1"/>
      <c r="K37" s="1"/>
      <c r="L37" s="1"/>
      <c r="M37" s="1"/>
      <c r="N37" s="1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1:24" ht="2.5" customHeight="1" thickBot="1" x14ac:dyDescent="0.4">
      <c r="A38" s="1"/>
      <c r="B38" s="87"/>
      <c r="C38" s="5"/>
      <c r="D38" s="5"/>
      <c r="E38" s="6"/>
      <c r="F38" s="6"/>
      <c r="G38" s="1"/>
      <c r="H38" s="1"/>
      <c r="I38" s="7"/>
      <c r="J38" s="1"/>
      <c r="K38" s="1"/>
      <c r="L38" s="1"/>
      <c r="M38" s="1"/>
      <c r="N38" s="1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1:24" ht="15" thickBot="1" x14ac:dyDescent="0.4">
      <c r="A39" s="1"/>
      <c r="B39" s="87"/>
      <c r="C39" s="5" t="s">
        <v>44</v>
      </c>
      <c r="D39" s="5"/>
      <c r="E39" s="35">
        <f>IF(E21&gt;0,C102,0)</f>
        <v>70.5</v>
      </c>
      <c r="F39" s="6"/>
      <c r="G39" s="1" t="s">
        <v>14</v>
      </c>
      <c r="H39" s="1"/>
      <c r="I39" s="7" t="s">
        <v>45</v>
      </c>
      <c r="J39" s="1"/>
      <c r="K39" s="1"/>
      <c r="L39" s="1"/>
      <c r="M39" s="1"/>
      <c r="N39" s="1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1:24" ht="2.5" customHeight="1" thickBot="1" x14ac:dyDescent="0.4">
      <c r="A40" s="1"/>
      <c r="B40" s="87"/>
      <c r="C40" s="5"/>
      <c r="D40" s="5"/>
      <c r="E40" s="6"/>
      <c r="F40" s="6"/>
      <c r="G40" s="1"/>
      <c r="H40" s="1"/>
      <c r="I40" s="7"/>
      <c r="J40" s="1"/>
      <c r="K40" s="1"/>
      <c r="L40" s="1"/>
      <c r="M40" s="1"/>
      <c r="N40" s="1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1:24" ht="15" thickBot="1" x14ac:dyDescent="0.4">
      <c r="A41" s="1"/>
      <c r="B41" s="87"/>
      <c r="C41" s="5" t="s">
        <v>46</v>
      </c>
      <c r="D41" s="5"/>
      <c r="E41" s="35">
        <f>IF(E21&gt;0,(C99+E20+E21+(E18-E19)+E39-E61-E63),0)</f>
        <v>38.5</v>
      </c>
      <c r="F41" s="6"/>
      <c r="G41" s="1" t="s">
        <v>14</v>
      </c>
      <c r="H41" s="1"/>
      <c r="I41" s="7" t="s">
        <v>47</v>
      </c>
      <c r="J41" s="1"/>
      <c r="K41" s="1"/>
      <c r="L41" s="1"/>
      <c r="M41" s="1"/>
      <c r="N41" s="1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1:24" ht="2.5" customHeight="1" thickBot="1" x14ac:dyDescent="0.4">
      <c r="A42" s="1"/>
      <c r="B42" s="87"/>
      <c r="C42" s="5"/>
      <c r="D42" s="5"/>
      <c r="E42" s="6"/>
      <c r="F42" s="6"/>
      <c r="G42" s="1"/>
      <c r="H42" s="1"/>
      <c r="I42" s="7"/>
      <c r="J42" s="1"/>
      <c r="K42" s="1"/>
      <c r="L42" s="1"/>
      <c r="M42" s="1"/>
      <c r="N42" s="1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1:24" ht="15" thickBot="1" x14ac:dyDescent="0.4">
      <c r="A43" s="1"/>
      <c r="B43" s="87"/>
      <c r="C43" s="5" t="s">
        <v>48</v>
      </c>
      <c r="D43" s="5"/>
      <c r="E43" s="35">
        <f>E20+E24+E21</f>
        <v>254.5</v>
      </c>
      <c r="F43" s="6"/>
      <c r="G43" s="1" t="s">
        <v>14</v>
      </c>
      <c r="H43" s="1"/>
      <c r="I43" s="7" t="s">
        <v>49</v>
      </c>
      <c r="J43" s="1"/>
      <c r="K43" s="1"/>
      <c r="L43" s="1"/>
      <c r="M43" s="1"/>
      <c r="N43" s="1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spans="1:24" ht="2.5" customHeight="1" thickBot="1" x14ac:dyDescent="0.4">
      <c r="A44" s="1"/>
      <c r="B44" s="87"/>
      <c r="C44" s="5"/>
      <c r="D44" s="5"/>
      <c r="E44" s="6"/>
      <c r="F44" s="6"/>
      <c r="G44" s="1"/>
      <c r="H44" s="1"/>
      <c r="I44" s="7"/>
      <c r="J44" s="1"/>
      <c r="K44" s="1"/>
      <c r="L44" s="1"/>
      <c r="M44" s="1"/>
      <c r="N44" s="1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1:24" ht="15" thickBot="1" x14ac:dyDescent="0.4">
      <c r="A45" s="1"/>
      <c r="B45" s="87"/>
      <c r="C45" s="5" t="s">
        <v>50</v>
      </c>
      <c r="D45" s="5"/>
      <c r="E45" s="35">
        <f>IF(E41&gt;0,(E41-3),0)</f>
        <v>35.5</v>
      </c>
      <c r="F45" s="6"/>
      <c r="G45" s="1" t="s">
        <v>14</v>
      </c>
      <c r="H45" s="1"/>
      <c r="I45" s="7" t="s">
        <v>51</v>
      </c>
      <c r="J45" s="1"/>
      <c r="K45" s="1"/>
      <c r="L45" s="1"/>
      <c r="M45" s="1"/>
      <c r="N45" s="1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spans="1:24" ht="2.5" customHeight="1" thickBot="1" x14ac:dyDescent="0.4">
      <c r="A46" s="1"/>
      <c r="B46" s="87"/>
      <c r="C46" s="5"/>
      <c r="D46" s="5"/>
      <c r="E46" s="6"/>
      <c r="F46" s="6"/>
      <c r="G46" s="1"/>
      <c r="H46" s="1"/>
      <c r="I46" s="7"/>
      <c r="J46" s="1"/>
      <c r="K46" s="1"/>
      <c r="L46" s="1"/>
      <c r="M46" s="1"/>
      <c r="N46" s="1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1:24" ht="15" thickBot="1" x14ac:dyDescent="0.4">
      <c r="A47" s="1"/>
      <c r="B47" s="87"/>
      <c r="C47" s="5" t="s">
        <v>52</v>
      </c>
      <c r="D47" s="5"/>
      <c r="E47" s="35">
        <f>IF(E41&gt;0,(E41+E63-11),0)</f>
        <v>128.5</v>
      </c>
      <c r="F47" s="6"/>
      <c r="G47" s="1" t="s">
        <v>14</v>
      </c>
      <c r="H47" s="1"/>
      <c r="I47" s="7" t="s">
        <v>53</v>
      </c>
      <c r="J47" s="1"/>
      <c r="K47" s="1"/>
      <c r="L47" s="1"/>
      <c r="M47" s="1"/>
      <c r="N47" s="1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1:24" ht="2.5" customHeight="1" thickBot="1" x14ac:dyDescent="0.4">
      <c r="A48" s="1"/>
      <c r="B48" s="87"/>
      <c r="C48" s="5"/>
      <c r="D48" s="5"/>
      <c r="E48" s="6"/>
      <c r="F48" s="6"/>
      <c r="G48" s="1"/>
      <c r="H48" s="1"/>
      <c r="I48" s="7"/>
      <c r="J48" s="1"/>
      <c r="K48" s="1"/>
      <c r="L48" s="1"/>
      <c r="M48" s="1"/>
      <c r="N48" s="1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1:107" ht="14.25" customHeight="1" thickBot="1" x14ac:dyDescent="0.4">
      <c r="A49" s="1"/>
      <c r="B49" s="87"/>
      <c r="C49" s="5"/>
      <c r="D49" s="5"/>
      <c r="E49" s="35">
        <f>E41+E63+E65+E59+15+5</f>
        <v>252.5</v>
      </c>
      <c r="F49" s="6"/>
      <c r="G49" s="1" t="s">
        <v>14</v>
      </c>
      <c r="H49" s="1"/>
      <c r="I49" s="7" t="s">
        <v>54</v>
      </c>
      <c r="J49" s="1"/>
      <c r="K49" s="1"/>
      <c r="L49" s="1"/>
      <c r="M49" s="1"/>
      <c r="N49" s="1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1:107" ht="2.5" customHeight="1" thickBot="1" x14ac:dyDescent="0.4">
      <c r="A50" s="1"/>
      <c r="B50" s="87"/>
      <c r="C50" s="5"/>
      <c r="D50" s="5"/>
      <c r="E50" s="6"/>
      <c r="F50" s="6"/>
      <c r="G50" s="1"/>
      <c r="H50" s="1"/>
      <c r="I50" s="7"/>
      <c r="J50" s="1"/>
      <c r="K50" s="1"/>
      <c r="L50" s="1"/>
      <c r="M50" s="1"/>
      <c r="N50" s="1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1:107" ht="15" customHeight="1" thickBot="1" x14ac:dyDescent="0.4">
      <c r="A51" s="1"/>
      <c r="B51" s="87"/>
      <c r="C51" s="5"/>
      <c r="D51" s="5"/>
      <c r="E51" s="35">
        <f>IF(E21&gt;0,(ROUNDUP(((E49)/60),0)+1),0)</f>
        <v>6</v>
      </c>
      <c r="F51" s="6"/>
      <c r="G51" s="1" t="s">
        <v>55</v>
      </c>
      <c r="H51" s="1"/>
      <c r="I51" s="7" t="s">
        <v>56</v>
      </c>
      <c r="J51" s="1"/>
      <c r="K51" s="1"/>
      <c r="L51" s="1"/>
      <c r="M51" s="1"/>
      <c r="N51" s="1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1:107" ht="2.5" customHeight="1" thickBot="1" x14ac:dyDescent="0.4">
      <c r="A52" s="1"/>
      <c r="B52" s="87"/>
      <c r="C52" s="5"/>
      <c r="D52" s="5"/>
      <c r="E52" s="6"/>
      <c r="F52" s="6"/>
      <c r="G52" s="1"/>
      <c r="H52" s="1"/>
      <c r="I52" s="7"/>
      <c r="J52" s="1"/>
      <c r="K52" s="1"/>
      <c r="L52" s="1"/>
      <c r="M52" s="1"/>
      <c r="N52" s="1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spans="1:107" ht="15" customHeight="1" thickBot="1" x14ac:dyDescent="0.4">
      <c r="A53" s="1"/>
      <c r="B53" s="1"/>
      <c r="C53" s="5"/>
      <c r="D53" s="5"/>
      <c r="E53" s="35">
        <f>(E20+E21+E35+15)+107</f>
        <v>352.5</v>
      </c>
      <c r="F53" s="6"/>
      <c r="G53" s="1" t="s">
        <v>57</v>
      </c>
      <c r="H53" s="1"/>
      <c r="I53" s="7" t="s">
        <v>58</v>
      </c>
      <c r="J53" s="1"/>
      <c r="K53" s="1"/>
      <c r="L53" s="1"/>
      <c r="M53" s="1"/>
      <c r="N53" s="1"/>
      <c r="O53" s="24"/>
      <c r="P53" s="38"/>
      <c r="Q53" s="38"/>
      <c r="R53" s="38"/>
      <c r="S53" s="38"/>
      <c r="T53" s="38"/>
      <c r="U53" s="38"/>
      <c r="V53" s="38"/>
      <c r="W53" s="38"/>
      <c r="X53" s="38"/>
    </row>
    <row r="54" spans="1:107" ht="5.15" customHeight="1" x14ac:dyDescent="0.35">
      <c r="A54" s="1"/>
      <c r="B54" s="1"/>
      <c r="C54" s="5"/>
      <c r="D54" s="5"/>
      <c r="E54" s="6"/>
      <c r="F54" s="6"/>
      <c r="G54" s="1"/>
      <c r="H54" s="1"/>
      <c r="I54" s="7"/>
      <c r="J54" s="1"/>
      <c r="K54" s="1"/>
      <c r="L54" s="1"/>
      <c r="M54" s="1"/>
      <c r="N54" s="1"/>
      <c r="O54" s="24"/>
      <c r="P54" s="38"/>
      <c r="Q54" s="38"/>
      <c r="R54" s="38"/>
      <c r="S54" s="38"/>
      <c r="T54" s="38"/>
      <c r="U54" s="38"/>
      <c r="V54" s="38"/>
      <c r="W54" s="38"/>
      <c r="X54" s="38"/>
    </row>
    <row r="55" spans="1:107" s="30" customFormat="1" ht="11.25" customHeight="1" x14ac:dyDescent="0.35">
      <c r="A55" s="104" t="s">
        <v>59</v>
      </c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48"/>
      <c r="P55" s="39"/>
      <c r="Q55" s="39"/>
      <c r="R55" s="39"/>
      <c r="S55" s="39"/>
      <c r="T55" s="39"/>
      <c r="U55" s="39"/>
      <c r="V55" s="39"/>
      <c r="W55" s="39"/>
      <c r="X55" s="39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</row>
    <row r="56" spans="1:107" ht="2.5" customHeight="1" x14ac:dyDescent="0.35">
      <c r="A56"/>
      <c r="B56"/>
      <c r="C56" s="31"/>
      <c r="D56" s="31"/>
      <c r="E56" s="32"/>
      <c r="F56" s="32"/>
      <c r="G56"/>
      <c r="H56"/>
      <c r="I56" s="33"/>
      <c r="J56"/>
      <c r="K56"/>
      <c r="L56"/>
      <c r="M56"/>
      <c r="N56"/>
      <c r="O56" s="24"/>
      <c r="P56" s="38"/>
      <c r="Q56" s="38"/>
      <c r="R56" s="38"/>
      <c r="S56" s="38"/>
      <c r="T56" s="38"/>
      <c r="U56" s="38"/>
      <c r="V56" s="38"/>
      <c r="W56" s="38"/>
      <c r="X56" s="38"/>
    </row>
    <row r="57" spans="1:107" ht="25.5" customHeight="1" x14ac:dyDescent="0.35">
      <c r="A57" s="101" t="str">
        <f>IF(E21&gt;0,I106,"")</f>
        <v>70mm JACK: 21LPM=36FPM/25LPM=44FPM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58"/>
      <c r="P57" s="38"/>
      <c r="Q57" s="38"/>
      <c r="R57" s="38"/>
      <c r="S57" s="38"/>
      <c r="T57" s="38"/>
      <c r="U57" s="38"/>
      <c r="V57" s="38"/>
      <c r="W57" s="38"/>
      <c r="X57" s="38"/>
    </row>
    <row r="58" spans="1:107" ht="2.5" customHeight="1" thickBot="1" x14ac:dyDescent="0.4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58"/>
      <c r="P58" s="38"/>
      <c r="Q58" s="38"/>
      <c r="R58" s="38"/>
      <c r="S58" s="38"/>
      <c r="T58" s="38"/>
      <c r="U58" s="38"/>
      <c r="V58" s="38"/>
      <c r="W58" s="38"/>
      <c r="X58" s="38"/>
    </row>
    <row r="59" spans="1:107" ht="15.75" customHeight="1" thickBot="1" x14ac:dyDescent="0.4">
      <c r="A59" s="70"/>
      <c r="B59" s="70"/>
      <c r="C59" s="70"/>
      <c r="D59" s="70"/>
      <c r="E59" s="72">
        <f>IF(E17&gt;0,((E17+E18+E21)/2),0)</f>
        <v>77.5</v>
      </c>
      <c r="F59" s="70"/>
      <c r="G59" s="90" t="s">
        <v>14</v>
      </c>
      <c r="H59" s="70"/>
      <c r="I59" s="73" t="s">
        <v>60</v>
      </c>
      <c r="J59" s="73"/>
      <c r="K59" s="73"/>
      <c r="L59" s="85">
        <f>IF(E61&lt;=174,((321+E27)*2)/5.967,((321+E27)*2)/7.791)</f>
        <v>351.93564605329311</v>
      </c>
      <c r="M59" s="81" t="s">
        <v>61</v>
      </c>
      <c r="N59" s="73"/>
      <c r="O59" s="58"/>
      <c r="P59" s="38"/>
      <c r="Q59" s="38"/>
      <c r="R59" s="38"/>
      <c r="S59" s="38"/>
      <c r="T59" s="38"/>
      <c r="U59" s="38"/>
      <c r="V59" s="38"/>
      <c r="W59" s="38"/>
      <c r="X59" s="38"/>
    </row>
    <row r="60" spans="1:107" ht="2.5" customHeight="1" thickBot="1" x14ac:dyDescent="0.4">
      <c r="A60" s="70"/>
      <c r="B60" s="70"/>
      <c r="C60" s="70"/>
      <c r="D60" s="70"/>
      <c r="E60" s="71"/>
      <c r="F60" s="70"/>
      <c r="G60" s="70"/>
      <c r="H60" s="70"/>
      <c r="I60" s="70"/>
      <c r="J60" s="70"/>
      <c r="K60" s="70"/>
      <c r="L60" s="70"/>
      <c r="M60" s="70"/>
      <c r="N60" s="70"/>
      <c r="O60" s="58"/>
      <c r="P60" s="38"/>
      <c r="Q60" s="38"/>
      <c r="R60" s="38"/>
      <c r="S60" s="38"/>
      <c r="T60" s="38"/>
      <c r="U60" s="38"/>
      <c r="V60" s="38"/>
      <c r="W60" s="38"/>
      <c r="X60" s="38"/>
    </row>
    <row r="61" spans="1:107" ht="15" thickBot="1" x14ac:dyDescent="0.4">
      <c r="A61" s="1"/>
      <c r="B61" s="1"/>
      <c r="C61" s="5" t="s">
        <v>62</v>
      </c>
      <c r="D61" s="5"/>
      <c r="E61" s="50">
        <f>E91</f>
        <v>93</v>
      </c>
      <c r="F61" s="6"/>
      <c r="G61" s="1" t="s">
        <v>14</v>
      </c>
      <c r="H61" s="1"/>
      <c r="I61" s="7" t="s">
        <v>63</v>
      </c>
      <c r="J61" s="1"/>
      <c r="K61" s="1"/>
      <c r="L61" s="85">
        <f>IF(E61&lt;=174,((321+E27+E26)*2)/5.967,((321+E27+E26)*2)/7.791)</f>
        <v>670.35361153008216</v>
      </c>
      <c r="M61" s="81" t="s">
        <v>64</v>
      </c>
      <c r="N61" s="1"/>
      <c r="O61" s="24"/>
      <c r="P61" s="38"/>
      <c r="Q61" s="38"/>
      <c r="R61" s="38"/>
      <c r="S61" s="38"/>
      <c r="T61" s="38"/>
      <c r="U61" s="38"/>
      <c r="V61" s="38"/>
      <c r="W61" s="38"/>
      <c r="X61" s="38"/>
    </row>
    <row r="62" spans="1:107" ht="2.5" customHeight="1" thickBot="1" x14ac:dyDescent="0.4">
      <c r="A62" s="1"/>
      <c r="B62" s="1"/>
      <c r="C62" s="5"/>
      <c r="D62" s="5"/>
      <c r="E62" s="6"/>
      <c r="F62" s="6"/>
      <c r="G62" s="1"/>
      <c r="H62" s="1"/>
      <c r="I62" s="7"/>
      <c r="J62" s="1"/>
      <c r="K62" s="1"/>
      <c r="L62" s="1"/>
      <c r="M62" s="1"/>
      <c r="N62" s="1"/>
      <c r="O62" s="24"/>
      <c r="P62" s="38"/>
      <c r="Q62" s="38"/>
      <c r="R62" s="38"/>
      <c r="S62" s="38"/>
      <c r="T62" s="38"/>
      <c r="U62" s="38"/>
      <c r="V62" s="38"/>
      <c r="W62" s="38"/>
      <c r="X62" s="38"/>
    </row>
    <row r="63" spans="1:107" ht="15" thickBot="1" x14ac:dyDescent="0.4">
      <c r="A63" s="1"/>
      <c r="B63" s="1"/>
      <c r="C63" s="5" t="s">
        <v>65</v>
      </c>
      <c r="D63" s="5"/>
      <c r="E63" s="35">
        <f>IF(E61&gt;0,(E61+8),0)</f>
        <v>101</v>
      </c>
      <c r="F63" s="6"/>
      <c r="G63" s="1" t="s">
        <v>14</v>
      </c>
      <c r="H63" s="1"/>
      <c r="I63" s="7" t="s">
        <v>66</v>
      </c>
      <c r="J63" s="1"/>
      <c r="K63" s="1"/>
      <c r="L63" s="86">
        <f>IF(E61&lt;=174,((E61*4.88)/231)+((E65*4.333)/231),((E61*3.07)/231)+((E65*7.789)/231))</f>
        <v>2.2554177489177487</v>
      </c>
      <c r="M63" s="81" t="s">
        <v>67</v>
      </c>
      <c r="N63" s="1"/>
      <c r="O63" s="24"/>
      <c r="P63" s="38"/>
      <c r="Q63" s="38"/>
      <c r="R63" s="38"/>
      <c r="S63" s="38"/>
      <c r="T63" s="38"/>
      <c r="U63" s="38"/>
      <c r="V63" s="38"/>
      <c r="W63" s="38"/>
      <c r="X63" s="38"/>
    </row>
    <row r="64" spans="1:107" ht="2.5" customHeight="1" thickBot="1" x14ac:dyDescent="0.4">
      <c r="A64" s="1"/>
      <c r="B64" s="1"/>
      <c r="C64" s="5"/>
      <c r="D64" s="5"/>
      <c r="E64" s="6"/>
      <c r="F64" s="6"/>
      <c r="G64" s="1"/>
      <c r="H64" s="1"/>
      <c r="I64" s="7"/>
      <c r="J64" s="1"/>
      <c r="K64" s="1"/>
      <c r="L64" s="1"/>
      <c r="M64" s="1"/>
      <c r="N64" s="1"/>
      <c r="O64" s="24"/>
      <c r="P64" s="38"/>
      <c r="Q64" s="38"/>
      <c r="R64" s="38"/>
      <c r="S64" s="38"/>
      <c r="T64" s="38"/>
      <c r="U64" s="38"/>
      <c r="V64" s="38"/>
      <c r="W64" s="38"/>
      <c r="X64" s="38"/>
    </row>
    <row r="65" spans="1:41" ht="15" thickBot="1" x14ac:dyDescent="0.4">
      <c r="A65" s="1"/>
      <c r="B65" s="1"/>
      <c r="C65" s="5" t="s">
        <v>68</v>
      </c>
      <c r="D65" s="5"/>
      <c r="E65" s="35">
        <f>IF(E61&gt;0,(E61-(E21+E18+E17)/2),0)</f>
        <v>15.5</v>
      </c>
      <c r="F65" s="22"/>
      <c r="G65" s="1" t="s">
        <v>14</v>
      </c>
      <c r="H65" s="1"/>
      <c r="I65" s="7" t="s">
        <v>69</v>
      </c>
      <c r="J65" s="1"/>
      <c r="K65" s="1"/>
      <c r="L65" s="86">
        <f>IF(E61&lt;=174,((E59*4.333)/231),((E59*7.789)/231))</f>
        <v>1.4537121212121211</v>
      </c>
      <c r="M65" s="81" t="s">
        <v>70</v>
      </c>
      <c r="N65" s="1"/>
      <c r="O65" s="24"/>
      <c r="P65" s="38"/>
      <c r="Q65" s="38"/>
      <c r="R65" s="38"/>
      <c r="S65" s="38"/>
      <c r="T65" s="38"/>
      <c r="U65" s="38"/>
      <c r="V65" s="38"/>
      <c r="W65" s="38"/>
      <c r="X65" s="38"/>
    </row>
    <row r="66" spans="1:41" ht="2.5" customHeight="1" thickBot="1" x14ac:dyDescent="0.4">
      <c r="A66" s="1"/>
      <c r="B66" s="1"/>
      <c r="C66" s="5"/>
      <c r="D66" s="5"/>
      <c r="E66" s="6"/>
      <c r="F66" s="22"/>
      <c r="G66" s="1"/>
      <c r="H66" s="1"/>
      <c r="I66" s="7"/>
      <c r="J66" s="1"/>
      <c r="K66" s="1"/>
      <c r="L66" s="1"/>
      <c r="M66" s="1"/>
      <c r="N66" s="1"/>
      <c r="O66" s="24"/>
      <c r="P66" s="38"/>
      <c r="Q66" s="38"/>
      <c r="R66" s="38"/>
      <c r="S66" s="38"/>
      <c r="T66" s="38"/>
      <c r="U66" s="38"/>
      <c r="V66" s="38"/>
      <c r="W66" s="38"/>
      <c r="X66" s="38"/>
    </row>
    <row r="67" spans="1:41" ht="15" thickBot="1" x14ac:dyDescent="0.4">
      <c r="A67" s="1"/>
      <c r="B67" s="1"/>
      <c r="C67" s="5"/>
      <c r="D67" s="1"/>
      <c r="E67" s="36">
        <f>IF(E61&gt;0,(K101+K97),0)</f>
        <v>156.22499999999999</v>
      </c>
      <c r="F67" s="12"/>
      <c r="G67" s="1" t="s">
        <v>71</v>
      </c>
      <c r="H67" s="1"/>
      <c r="I67" s="7" t="s">
        <v>72</v>
      </c>
      <c r="J67" s="1"/>
      <c r="K67" s="1"/>
      <c r="L67" s="1"/>
      <c r="M67" s="1"/>
      <c r="N67" s="1"/>
      <c r="O67" s="24"/>
      <c r="P67" s="99"/>
      <c r="Q67" s="99"/>
      <c r="R67" s="99"/>
      <c r="S67" s="99"/>
      <c r="T67" s="99"/>
      <c r="U67" s="99"/>
      <c r="V67" s="99"/>
      <c r="W67" s="99"/>
      <c r="X67" s="99"/>
    </row>
    <row r="68" spans="1:41" ht="6.75" customHeight="1" x14ac:dyDescent="0.35">
      <c r="A68" s="34"/>
      <c r="B68" s="34"/>
      <c r="C68" s="40"/>
      <c r="D68" s="34"/>
      <c r="E68" s="41"/>
      <c r="F68" s="42"/>
      <c r="G68" s="34"/>
      <c r="H68" s="34"/>
      <c r="I68" s="43"/>
      <c r="J68" s="34"/>
      <c r="K68" s="34"/>
      <c r="L68" s="34"/>
      <c r="M68" s="34"/>
      <c r="N68" s="34"/>
      <c r="O68" s="24"/>
      <c r="P68" s="21"/>
      <c r="Q68" s="21"/>
      <c r="R68" s="21"/>
      <c r="S68" s="21"/>
      <c r="T68" s="21"/>
      <c r="U68" s="21"/>
      <c r="V68" s="21"/>
      <c r="W68" s="21"/>
      <c r="X68" s="21"/>
    </row>
    <row r="69" spans="1:41" hidden="1" x14ac:dyDescent="0.35">
      <c r="A69"/>
      <c r="B69"/>
      <c r="C69"/>
      <c r="D69"/>
      <c r="E69"/>
      <c r="F69"/>
      <c r="G69"/>
      <c r="H69"/>
      <c r="I69"/>
      <c r="J69"/>
      <c r="K69"/>
      <c r="L69"/>
      <c r="M69"/>
      <c r="N69" s="24"/>
      <c r="O69" s="77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</row>
    <row r="70" spans="1:41" hidden="1" x14ac:dyDescent="0.35">
      <c r="A70"/>
      <c r="B70" s="120" t="s">
        <v>73</v>
      </c>
      <c r="C70" s="120"/>
      <c r="D70" s="120"/>
      <c r="E70" s="120"/>
      <c r="F70" s="59"/>
      <c r="G70"/>
      <c r="H70"/>
      <c r="I70"/>
      <c r="J70"/>
      <c r="K70" t="s">
        <v>74</v>
      </c>
      <c r="L70"/>
      <c r="M70"/>
      <c r="N70" s="78">
        <f>E43-E61-E63-E41-15</f>
        <v>7</v>
      </c>
      <c r="O70" s="79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</row>
    <row r="71" spans="1:41" hidden="1" x14ac:dyDescent="0.35">
      <c r="A71"/>
      <c r="B71" s="121">
        <f>IF(E21&gt;0,(E21+E18+E17)/2,0)</f>
        <v>77.5</v>
      </c>
      <c r="C71" s="122"/>
      <c r="D71" s="122"/>
      <c r="E71" s="123"/>
      <c r="F71" s="60"/>
      <c r="G71"/>
      <c r="H71"/>
      <c r="I71"/>
      <c r="J71"/>
      <c r="K71" s="117">
        <v>3</v>
      </c>
      <c r="L71" s="100"/>
      <c r="M71"/>
      <c r="N71" s="78"/>
      <c r="O71" s="79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</row>
    <row r="72" spans="1:41" hidden="1" x14ac:dyDescent="0.35">
      <c r="A72"/>
      <c r="B72"/>
      <c r="C72"/>
      <c r="D72"/>
      <c r="E72"/>
      <c r="F72"/>
      <c r="G72"/>
      <c r="H72"/>
      <c r="I72"/>
      <c r="J72"/>
      <c r="K72" t="s">
        <v>75</v>
      </c>
      <c r="L72"/>
      <c r="M72"/>
      <c r="N72" s="78">
        <f>IF(K77&gt;0,(N70-K77),N70)</f>
        <v>7</v>
      </c>
      <c r="O72" s="79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</row>
    <row r="73" spans="1:41" hidden="1" x14ac:dyDescent="0.35">
      <c r="A73" s="117">
        <v>41</v>
      </c>
      <c r="B73" s="117"/>
      <c r="C73" s="117"/>
      <c r="D73"/>
      <c r="E73" s="66"/>
      <c r="F73"/>
      <c r="G73"/>
      <c r="H73"/>
      <c r="I73"/>
      <c r="J73"/>
      <c r="K73"/>
      <c r="L73"/>
      <c r="M73"/>
      <c r="N73" s="78"/>
      <c r="O73" s="79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</row>
    <row r="74" spans="1:41" hidden="1" x14ac:dyDescent="0.35">
      <c r="A74"/>
      <c r="B74"/>
      <c r="C74"/>
      <c r="D74"/>
      <c r="E74"/>
      <c r="F74"/>
      <c r="G74"/>
      <c r="H74"/>
      <c r="I74"/>
      <c r="J74"/>
      <c r="K74"/>
      <c r="L74"/>
      <c r="M74"/>
      <c r="N74" s="78"/>
      <c r="O74" s="79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</row>
    <row r="75" spans="1:41" hidden="1" x14ac:dyDescent="0.35">
      <c r="A75" s="111">
        <v>67</v>
      </c>
      <c r="B75" s="111"/>
      <c r="C75" s="112"/>
      <c r="D75" s="95"/>
      <c r="E75" s="96" t="str">
        <f>IF(AND($B$71&lt;A75),A75,"")</f>
        <v/>
      </c>
      <c r="F75" s="93"/>
      <c r="G75"/>
      <c r="H75"/>
      <c r="I75"/>
      <c r="J75"/>
      <c r="K75" s="117" t="s">
        <v>76</v>
      </c>
      <c r="L75" s="117"/>
      <c r="M75"/>
      <c r="N75" s="78"/>
      <c r="O75" s="79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</row>
    <row r="76" spans="1:41" hidden="1" x14ac:dyDescent="0.35">
      <c r="A76"/>
      <c r="B76" s="95"/>
      <c r="C76" s="95"/>
      <c r="D76" s="95"/>
      <c r="E76" s="96"/>
      <c r="F76" s="93"/>
      <c r="G76"/>
      <c r="H76"/>
      <c r="I76"/>
      <c r="J76"/>
      <c r="K76" s="100">
        <f>IF(E31&lt;6,6-E31,0)</f>
        <v>0</v>
      </c>
      <c r="L76" s="100"/>
      <c r="M76"/>
      <c r="N76" s="24"/>
      <c r="O76" s="77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</row>
    <row r="77" spans="1:41" hidden="1" x14ac:dyDescent="0.35">
      <c r="A77" s="111">
        <v>93</v>
      </c>
      <c r="B77" s="111"/>
      <c r="C77" s="112"/>
      <c r="D77" s="95"/>
      <c r="E77" s="96">
        <f>IF(AND($B$71&lt;=A77,$B$71&gt;A75),A77,"")</f>
        <v>93</v>
      </c>
      <c r="F77" s="93"/>
      <c r="G77"/>
      <c r="H77"/>
      <c r="I77"/>
      <c r="J77"/>
      <c r="K77" s="100">
        <f>IF(E33&lt;6,6-E33,0)</f>
        <v>0</v>
      </c>
      <c r="L77" s="100"/>
      <c r="M77"/>
      <c r="N77" s="78" t="str">
        <f>IF(MIN(E17,E18,E19,E20,E21,E22,E24,E27)&lt;=0,0,"")</f>
        <v/>
      </c>
      <c r="O77" s="79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</row>
    <row r="78" spans="1:41" hidden="1" x14ac:dyDescent="0.35">
      <c r="A78"/>
      <c r="B78" s="95"/>
      <c r="C78" s="95"/>
      <c r="D78" s="95"/>
      <c r="E78" s="96"/>
      <c r="F78" s="93"/>
      <c r="G78"/>
      <c r="H78"/>
      <c r="I78"/>
      <c r="J78"/>
      <c r="K78" s="117">
        <f>IF(K76&gt;K77,K76,K77)</f>
        <v>0</v>
      </c>
      <c r="L78" s="117"/>
      <c r="M78"/>
      <c r="N78" s="24"/>
      <c r="O78" s="77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</row>
    <row r="79" spans="1:41" hidden="1" x14ac:dyDescent="0.35">
      <c r="A79" s="111">
        <v>120</v>
      </c>
      <c r="B79" s="111"/>
      <c r="C79" s="112"/>
      <c r="D79" s="95"/>
      <c r="E79" s="96" t="str">
        <f>IF(AND($B$71&lt;=A79,$B$71&gt;A77),A79,"")</f>
        <v/>
      </c>
      <c r="F79" s="93"/>
      <c r="G79"/>
      <c r="H79"/>
      <c r="I79"/>
      <c r="J79"/>
      <c r="K79" s="32"/>
      <c r="L79"/>
      <c r="M79"/>
      <c r="N79" s="24"/>
      <c r="O79" s="77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</row>
    <row r="80" spans="1:41" hidden="1" x14ac:dyDescent="0.35">
      <c r="A80"/>
      <c r="B80" s="95"/>
      <c r="C80" s="95"/>
      <c r="D80" s="95"/>
      <c r="E80" s="96"/>
      <c r="F80" s="93"/>
      <c r="G80"/>
      <c r="H80"/>
      <c r="I80"/>
      <c r="J80"/>
      <c r="K80" s="61"/>
      <c r="L80"/>
      <c r="M80"/>
      <c r="N80" s="24"/>
      <c r="O80" s="77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</row>
    <row r="81" spans="1:41" hidden="1" x14ac:dyDescent="0.35">
      <c r="A81" s="111">
        <v>147</v>
      </c>
      <c r="B81" s="111"/>
      <c r="C81" s="112"/>
      <c r="D81" s="95"/>
      <c r="E81" s="96" t="str">
        <f>IF(AND($B$71&lt;=A81,$B$71&gt;A79),A81,"")</f>
        <v/>
      </c>
      <c r="F81" s="93"/>
      <c r="G81"/>
      <c r="H81"/>
      <c r="I81"/>
      <c r="J81"/>
      <c r="K81"/>
      <c r="L81"/>
      <c r="M81"/>
      <c r="N81" s="24"/>
      <c r="O81" s="77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</row>
    <row r="82" spans="1:41" hidden="1" x14ac:dyDescent="0.35">
      <c r="A82"/>
      <c r="B82" s="95"/>
      <c r="C82" s="95"/>
      <c r="D82" s="95"/>
      <c r="E82" s="96"/>
      <c r="F82" s="93"/>
      <c r="G82"/>
      <c r="H82"/>
      <c r="I82"/>
      <c r="J82"/>
      <c r="K82"/>
      <c r="L82"/>
      <c r="M82"/>
      <c r="N82" s="24"/>
      <c r="O82" s="77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</row>
    <row r="83" spans="1:41" hidden="1" x14ac:dyDescent="0.35">
      <c r="A83" s="111">
        <v>174</v>
      </c>
      <c r="B83" s="111"/>
      <c r="C83" s="112"/>
      <c r="D83" s="95"/>
      <c r="E83" s="96" t="str">
        <f>IF(AND($B$71&lt;=A83,$B$71&gt;A81),A83,"")</f>
        <v/>
      </c>
      <c r="F83" s="93"/>
      <c r="G83"/>
      <c r="H83"/>
      <c r="I83"/>
      <c r="J83"/>
      <c r="K83" s="118"/>
      <c r="L83" s="118"/>
      <c r="M83"/>
      <c r="N83" s="24"/>
      <c r="O83" s="77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</row>
    <row r="84" spans="1:41" hidden="1" x14ac:dyDescent="0.35">
      <c r="A84" s="93"/>
      <c r="B84" s="94"/>
      <c r="C84" s="95"/>
      <c r="D84" s="95"/>
      <c r="E84" s="96"/>
      <c r="F84" s="93"/>
      <c r="G84"/>
      <c r="H84"/>
      <c r="I84" t="s">
        <v>77</v>
      </c>
      <c r="J84"/>
      <c r="K84" s="118"/>
      <c r="L84" s="118"/>
      <c r="M84"/>
      <c r="N84" s="24"/>
      <c r="O84" s="77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</row>
    <row r="85" spans="1:41" hidden="1" x14ac:dyDescent="0.35">
      <c r="A85"/>
      <c r="B85" s="95"/>
      <c r="C85" s="95"/>
      <c r="D85" s="95"/>
      <c r="E85" s="96"/>
      <c r="F85" s="93"/>
      <c r="G85"/>
      <c r="H85"/>
      <c r="I85" t="s">
        <v>78</v>
      </c>
      <c r="J85"/>
      <c r="K85" s="118"/>
      <c r="L85" s="118"/>
      <c r="M85"/>
      <c r="N85" s="24"/>
      <c r="O85" s="77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</row>
    <row r="86" spans="1:41" hidden="1" x14ac:dyDescent="0.35">
      <c r="A86" s="111">
        <v>201</v>
      </c>
      <c r="B86" s="111"/>
      <c r="C86" s="112"/>
      <c r="D86" s="95"/>
      <c r="E86" s="96" t="str">
        <f>IF(AND($B$71&lt;=A86,$B$71&gt;A83),A86,"")</f>
        <v/>
      </c>
      <c r="F86" s="93"/>
      <c r="G86"/>
      <c r="H86"/>
      <c r="I86"/>
      <c r="J86"/>
      <c r="K86" s="62"/>
      <c r="L86"/>
      <c r="M86"/>
      <c r="N86" s="24"/>
      <c r="O86" s="77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</row>
    <row r="87" spans="1:41" hidden="1" x14ac:dyDescent="0.35">
      <c r="A87"/>
      <c r="B87" s="95"/>
      <c r="C87" s="95"/>
      <c r="D87" s="95"/>
      <c r="E87" s="96"/>
      <c r="F87" s="93"/>
      <c r="G87"/>
      <c r="H87"/>
      <c r="I87"/>
      <c r="J87"/>
      <c r="K87"/>
      <c r="L87"/>
      <c r="M87"/>
      <c r="N87" s="24"/>
      <c r="O87" s="77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</row>
    <row r="88" spans="1:41" hidden="1" x14ac:dyDescent="0.35">
      <c r="A88" s="111">
        <v>228</v>
      </c>
      <c r="B88" s="111"/>
      <c r="C88" s="112"/>
      <c r="D88" s="95"/>
      <c r="E88" s="96" t="str">
        <f>IF(AND($B$71&lt;=A88,$B$71&gt;A86),A88,"")</f>
        <v/>
      </c>
      <c r="F88" s="93"/>
      <c r="G88"/>
      <c r="H88"/>
      <c r="I88"/>
      <c r="J88"/>
      <c r="K88"/>
      <c r="L88"/>
      <c r="M88"/>
      <c r="N88" s="24"/>
      <c r="O88" s="77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</row>
    <row r="89" spans="1:41" hidden="1" x14ac:dyDescent="0.35">
      <c r="A89"/>
      <c r="B89" s="95"/>
      <c r="C89" s="95"/>
      <c r="D89" s="95"/>
      <c r="E89" s="96"/>
      <c r="F89" s="93"/>
      <c r="G89"/>
      <c r="H89"/>
      <c r="I89"/>
      <c r="J89"/>
      <c r="K89"/>
      <c r="L89"/>
      <c r="M89"/>
      <c r="N89" s="24"/>
      <c r="O89" s="77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</row>
    <row r="90" spans="1:41" hidden="1" x14ac:dyDescent="0.35">
      <c r="A90" s="111">
        <v>252</v>
      </c>
      <c r="B90" s="111"/>
      <c r="C90" s="112"/>
      <c r="D90" s="95"/>
      <c r="E90" s="96" t="str">
        <f>IF(AND($B$71&lt;=A90,$B$71&gt;A88),A90,"")</f>
        <v/>
      </c>
      <c r="F90" s="93"/>
      <c r="G90"/>
      <c r="H90"/>
      <c r="I90"/>
      <c r="J90"/>
      <c r="K90"/>
      <c r="L90"/>
      <c r="M90"/>
      <c r="N90" s="24"/>
      <c r="O90" s="77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</row>
    <row r="91" spans="1:41" hidden="1" x14ac:dyDescent="0.35">
      <c r="A91"/>
      <c r="B91"/>
      <c r="C91"/>
      <c r="D91"/>
      <c r="E91" s="69">
        <f>SUM(E73:E90)</f>
        <v>93</v>
      </c>
      <c r="F91" s="63"/>
      <c r="G91"/>
      <c r="H91"/>
      <c r="I91"/>
      <c r="J91"/>
      <c r="K91" s="110" t="s">
        <v>79</v>
      </c>
      <c r="L91" s="110"/>
      <c r="M91" s="110"/>
      <c r="N91" s="24"/>
      <c r="O91" s="77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</row>
    <row r="92" spans="1:41" hidden="1" x14ac:dyDescent="0.35">
      <c r="A92"/>
      <c r="B92"/>
      <c r="C92"/>
      <c r="D92"/>
      <c r="E92"/>
      <c r="F92"/>
      <c r="G92"/>
      <c r="H92"/>
      <c r="I92"/>
      <c r="J92"/>
      <c r="K92"/>
      <c r="L92"/>
      <c r="M92"/>
      <c r="N92" s="24"/>
      <c r="O92" s="77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</row>
    <row r="93" spans="1:41" hidden="1" x14ac:dyDescent="0.35">
      <c r="A93"/>
      <c r="B93"/>
      <c r="C93"/>
      <c r="D93"/>
      <c r="E93"/>
      <c r="F93"/>
      <c r="G93"/>
      <c r="H93"/>
      <c r="I93"/>
      <c r="J93"/>
      <c r="K93"/>
      <c r="L93"/>
      <c r="M93"/>
      <c r="N93" s="24"/>
      <c r="O93" s="77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</row>
    <row r="94" spans="1:41" hidden="1" x14ac:dyDescent="0.35">
      <c r="A94"/>
      <c r="B94"/>
      <c r="C94"/>
      <c r="D94"/>
      <c r="E94"/>
      <c r="F94"/>
      <c r="G94"/>
      <c r="H94"/>
      <c r="I94"/>
      <c r="J94"/>
      <c r="K94" s="64" t="s">
        <v>80</v>
      </c>
      <c r="L94"/>
      <c r="M94"/>
      <c r="N94" s="24"/>
      <c r="O94" s="77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</row>
    <row r="95" spans="1:41" hidden="1" x14ac:dyDescent="0.35">
      <c r="A95"/>
      <c r="B95"/>
      <c r="C95" t="s">
        <v>81</v>
      </c>
      <c r="D95"/>
      <c r="E95"/>
      <c r="F95"/>
      <c r="G95"/>
      <c r="H95"/>
      <c r="I95"/>
      <c r="J95"/>
      <c r="K95" s="65" t="s">
        <v>82</v>
      </c>
      <c r="L95"/>
      <c r="M95"/>
      <c r="N95" s="24"/>
      <c r="O95" s="77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</row>
    <row r="96" spans="1:41" hidden="1" x14ac:dyDescent="0.35">
      <c r="A96"/>
      <c r="B96"/>
      <c r="C96" s="66">
        <f>IF(E17&gt;0,(5+E17+E19),0)</f>
        <v>8</v>
      </c>
      <c r="D96"/>
      <c r="E96"/>
      <c r="F96"/>
      <c r="G96"/>
      <c r="H96"/>
      <c r="I96"/>
      <c r="J96"/>
      <c r="K96" s="65" t="s">
        <v>83</v>
      </c>
      <c r="L96"/>
      <c r="M96"/>
      <c r="N96" s="24"/>
      <c r="O96" s="77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</row>
    <row r="97" spans="1:41" hidden="1" x14ac:dyDescent="0.35">
      <c r="A97"/>
      <c r="B97"/>
      <c r="C97"/>
      <c r="D97"/>
      <c r="E97"/>
      <c r="F97"/>
      <c r="G97"/>
      <c r="H97"/>
      <c r="I97"/>
      <c r="J97"/>
      <c r="K97" s="67">
        <v>29.900000000000002</v>
      </c>
      <c r="L97"/>
      <c r="M97"/>
      <c r="N97" s="24"/>
      <c r="O97" s="77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</row>
    <row r="98" spans="1:41" hidden="1" x14ac:dyDescent="0.35">
      <c r="A98"/>
      <c r="B98"/>
      <c r="C98" t="s">
        <v>84</v>
      </c>
      <c r="D98"/>
      <c r="E98"/>
      <c r="F98"/>
      <c r="G98"/>
      <c r="H98"/>
      <c r="I98"/>
      <c r="J98"/>
      <c r="K98"/>
      <c r="L98"/>
      <c r="M98"/>
      <c r="N98" s="24"/>
      <c r="O98" s="77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</row>
    <row r="99" spans="1:41" hidden="1" x14ac:dyDescent="0.35">
      <c r="A99"/>
      <c r="B99"/>
      <c r="C99" s="66">
        <f>E25</f>
        <v>2</v>
      </c>
      <c r="D99"/>
      <c r="E99"/>
      <c r="F99"/>
      <c r="G99"/>
      <c r="H99"/>
      <c r="I99"/>
      <c r="J99"/>
      <c r="K99" s="68" t="s">
        <v>85</v>
      </c>
      <c r="L99"/>
      <c r="M99"/>
      <c r="N99" s="24"/>
      <c r="O99" s="77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</row>
    <row r="100" spans="1:41" hidden="1" x14ac:dyDescent="0.35">
      <c r="A100"/>
      <c r="B100"/>
      <c r="C100"/>
      <c r="D100"/>
      <c r="E100"/>
      <c r="F100"/>
      <c r="G100"/>
      <c r="H100"/>
      <c r="I100"/>
      <c r="J100"/>
      <c r="K100" s="68" t="s">
        <v>86</v>
      </c>
      <c r="L100"/>
      <c r="M100"/>
      <c r="N100" s="24"/>
      <c r="O100" s="77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</row>
    <row r="101" spans="1:41" hidden="1" x14ac:dyDescent="0.35">
      <c r="A101"/>
      <c r="B101"/>
      <c r="C101"/>
      <c r="D101"/>
      <c r="E101"/>
      <c r="F101"/>
      <c r="G101"/>
      <c r="H101"/>
      <c r="I101"/>
      <c r="J101"/>
      <c r="K101" s="119">
        <f>(7.3+9)*(E61/12)</f>
        <v>126.325</v>
      </c>
      <c r="L101" s="119"/>
      <c r="M101"/>
      <c r="N101" s="24"/>
      <c r="O101" s="77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</row>
    <row r="102" spans="1:41" ht="23.25" hidden="1" customHeight="1" x14ac:dyDescent="0.35">
      <c r="A102"/>
      <c r="B102"/>
      <c r="C102">
        <f>IF(E23&gt;=90.5,79,70.5)</f>
        <v>70.5</v>
      </c>
      <c r="D102"/>
      <c r="E102" t="s">
        <v>87</v>
      </c>
      <c r="F102"/>
      <c r="G102"/>
      <c r="H102"/>
      <c r="I102"/>
      <c r="J102"/>
      <c r="K102"/>
      <c r="L102"/>
      <c r="M102"/>
      <c r="N102" s="24"/>
      <c r="O102" s="77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</row>
    <row r="103" spans="1:41" hidden="1" x14ac:dyDescent="0.3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 s="24"/>
      <c r="O103" s="77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</row>
    <row r="104" spans="1:41" hidden="1" x14ac:dyDescent="0.35">
      <c r="A104"/>
      <c r="B104"/>
      <c r="C104"/>
      <c r="D104"/>
      <c r="E104"/>
      <c r="F104"/>
      <c r="G104"/>
      <c r="H104"/>
      <c r="I104">
        <f>IF(E23&gt;=90.5,601001,601000)</f>
        <v>601000</v>
      </c>
      <c r="J104"/>
      <c r="K104"/>
      <c r="L104"/>
      <c r="M104"/>
      <c r="N104" s="24"/>
      <c r="O104" s="77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</row>
    <row r="105" spans="1:41" hidden="1" x14ac:dyDescent="0.35">
      <c r="A105"/>
      <c r="B105"/>
      <c r="C105"/>
      <c r="D105"/>
      <c r="E105"/>
      <c r="F105"/>
      <c r="G105"/>
      <c r="H105"/>
      <c r="I105" t="str">
        <f>IF(E23&gt;=90.5,"RPB 8FT CAR FRAME","RPA 7FT CAR FRAME")</f>
        <v>RPA 7FT CAR FRAME</v>
      </c>
      <c r="J105"/>
      <c r="K105"/>
      <c r="L105"/>
      <c r="M105"/>
      <c r="N105" s="24"/>
      <c r="O105" s="77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</row>
    <row r="106" spans="1:41" hidden="1" x14ac:dyDescent="0.35">
      <c r="A106"/>
      <c r="B106"/>
      <c r="C106"/>
      <c r="D106"/>
      <c r="E106"/>
      <c r="F106"/>
      <c r="G106"/>
      <c r="H106"/>
      <c r="I106" t="str">
        <f>IF(E61&gt;174,"80mm JACK: 32LPM=41FPM","70mm JACK: 21LPM=36FPM/25LPM=44FPM")</f>
        <v>70mm JACK: 21LPM=36FPM/25LPM=44FPM</v>
      </c>
      <c r="J106"/>
      <c r="K106"/>
      <c r="L106"/>
      <c r="M106"/>
      <c r="N106" s="24"/>
      <c r="O106" s="77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</row>
    <row r="107" spans="1:41" hidden="1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 s="24"/>
      <c r="O107" s="77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</row>
    <row r="108" spans="1:41" hidden="1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 s="24"/>
      <c r="O108" s="77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</row>
    <row r="109" spans="1:41" hidden="1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 s="24"/>
      <c r="O109" s="77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</row>
    <row r="110" spans="1:41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 s="24"/>
      <c r="O110" s="77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</row>
    <row r="111" spans="1:41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 s="24"/>
      <c r="O111" s="77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</row>
    <row r="112" spans="1:41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 s="24"/>
      <c r="O112" s="77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</row>
    <row r="113" spans="1:107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 s="24"/>
      <c r="O113" s="77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</row>
    <row r="114" spans="1:107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 s="76"/>
      <c r="P114" s="74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</row>
    <row r="115" spans="1:107" customFormat="1" x14ac:dyDescent="0.35">
      <c r="N115" s="24"/>
      <c r="O115" s="77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74"/>
      <c r="BM115" s="74"/>
      <c r="BN115" s="74"/>
      <c r="BO115" s="74"/>
      <c r="BP115" s="74"/>
      <c r="BQ115" s="74"/>
      <c r="BR115" s="74"/>
      <c r="BS115" s="74"/>
      <c r="BT115" s="74"/>
      <c r="BU115" s="74"/>
      <c r="BV115" s="74"/>
      <c r="BW115" s="74"/>
      <c r="BX115" s="74"/>
      <c r="BY115" s="74"/>
      <c r="BZ115" s="74"/>
      <c r="CA115" s="74"/>
      <c r="CB115" s="74"/>
      <c r="CC115" s="74"/>
      <c r="CD115" s="74"/>
      <c r="CE115" s="74"/>
      <c r="CF115" s="74"/>
      <c r="CG115" s="74"/>
      <c r="CH115" s="74"/>
      <c r="CI115" s="74"/>
      <c r="CJ115" s="74"/>
      <c r="CK115" s="74"/>
      <c r="CL115" s="74"/>
      <c r="CM115" s="74"/>
      <c r="CN115" s="74"/>
      <c r="CO115" s="74"/>
      <c r="CP115" s="74"/>
      <c r="CQ115" s="74"/>
      <c r="CR115" s="74"/>
      <c r="CS115" s="74"/>
      <c r="CT115" s="74"/>
      <c r="CU115" s="74"/>
      <c r="CV115" s="74"/>
      <c r="CW115" s="74"/>
      <c r="CX115" s="74"/>
      <c r="CY115" s="74"/>
      <c r="CZ115" s="74"/>
      <c r="DA115" s="74"/>
      <c r="DB115" s="74"/>
      <c r="DC115" s="74"/>
    </row>
    <row r="116" spans="1:107" customFormat="1" x14ac:dyDescent="0.35">
      <c r="N116" s="24"/>
      <c r="O116" s="77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74"/>
      <c r="BM116" s="74"/>
      <c r="BN116" s="74"/>
      <c r="BO116" s="74"/>
      <c r="BP116" s="74"/>
      <c r="BQ116" s="74"/>
      <c r="BR116" s="74"/>
      <c r="BS116" s="74"/>
      <c r="BT116" s="74"/>
      <c r="BU116" s="74"/>
      <c r="BV116" s="74"/>
      <c r="BW116" s="74"/>
      <c r="BX116" s="74"/>
      <c r="BY116" s="74"/>
      <c r="BZ116" s="74"/>
      <c r="CA116" s="74"/>
      <c r="CB116" s="74"/>
      <c r="CC116" s="74"/>
      <c r="CD116" s="74"/>
      <c r="CE116" s="74"/>
      <c r="CF116" s="74"/>
      <c r="CG116" s="74"/>
      <c r="CH116" s="74"/>
      <c r="CI116" s="74"/>
      <c r="CJ116" s="74"/>
      <c r="CK116" s="74"/>
      <c r="CL116" s="74"/>
      <c r="CM116" s="74"/>
      <c r="CN116" s="74"/>
      <c r="CO116" s="74"/>
      <c r="CP116" s="74"/>
      <c r="CQ116" s="74"/>
      <c r="CR116" s="74"/>
      <c r="CS116" s="74"/>
      <c r="CT116" s="74"/>
      <c r="CU116" s="74"/>
      <c r="CV116" s="74"/>
      <c r="CW116" s="74"/>
      <c r="CX116" s="74"/>
      <c r="CY116" s="74"/>
      <c r="CZ116" s="74"/>
      <c r="DA116" s="74"/>
      <c r="DB116" s="74"/>
      <c r="DC116" s="74"/>
    </row>
    <row r="117" spans="1:107" customFormat="1" x14ac:dyDescent="0.35">
      <c r="N117" s="24"/>
      <c r="O117" s="77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74"/>
      <c r="BM117" s="74"/>
      <c r="BN117" s="74"/>
      <c r="BO117" s="74"/>
      <c r="BP117" s="74"/>
      <c r="BQ117" s="74"/>
      <c r="BR117" s="74"/>
      <c r="BS117" s="74"/>
      <c r="BT117" s="74"/>
      <c r="BU117" s="74"/>
      <c r="BV117" s="74"/>
      <c r="BW117" s="74"/>
      <c r="BX117" s="74"/>
      <c r="BY117" s="74"/>
      <c r="BZ117" s="74"/>
      <c r="CA117" s="74"/>
      <c r="CB117" s="74"/>
      <c r="CC117" s="74"/>
      <c r="CD117" s="74"/>
      <c r="CE117" s="74"/>
      <c r="CF117" s="74"/>
      <c r="CG117" s="74"/>
      <c r="CH117" s="74"/>
      <c r="CI117" s="74"/>
      <c r="CJ117" s="74"/>
      <c r="CK117" s="74"/>
      <c r="CL117" s="74"/>
      <c r="CM117" s="74"/>
      <c r="CN117" s="74"/>
      <c r="CO117" s="74"/>
      <c r="CP117" s="74"/>
      <c r="CQ117" s="74"/>
      <c r="CR117" s="74"/>
      <c r="CS117" s="74"/>
      <c r="CT117" s="74"/>
      <c r="CU117" s="74"/>
      <c r="CV117" s="74"/>
      <c r="CW117" s="74"/>
      <c r="CX117" s="74"/>
      <c r="CY117" s="74"/>
      <c r="CZ117" s="74"/>
      <c r="DA117" s="74"/>
      <c r="DB117" s="74"/>
      <c r="DC117" s="74"/>
    </row>
    <row r="118" spans="1:107" customFormat="1" x14ac:dyDescent="0.35">
      <c r="N118" s="24"/>
      <c r="O118" s="77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74"/>
      <c r="BM118" s="74"/>
      <c r="BN118" s="74"/>
      <c r="BO118" s="74"/>
      <c r="BP118" s="74"/>
      <c r="BQ118" s="74"/>
      <c r="BR118" s="74"/>
      <c r="BS118" s="74"/>
      <c r="BT118" s="74"/>
      <c r="BU118" s="74"/>
      <c r="BV118" s="74"/>
      <c r="BW118" s="74"/>
      <c r="BX118" s="74"/>
      <c r="BY118" s="74"/>
      <c r="BZ118" s="74"/>
      <c r="CA118" s="74"/>
      <c r="CB118" s="74"/>
      <c r="CC118" s="74"/>
      <c r="CD118" s="74"/>
      <c r="CE118" s="74"/>
      <c r="CF118" s="74"/>
      <c r="CG118" s="74"/>
      <c r="CH118" s="74"/>
      <c r="CI118" s="74"/>
      <c r="CJ118" s="74"/>
      <c r="CK118" s="74"/>
      <c r="CL118" s="74"/>
      <c r="CM118" s="74"/>
      <c r="CN118" s="74"/>
      <c r="CO118" s="74"/>
      <c r="CP118" s="74"/>
      <c r="CQ118" s="74"/>
      <c r="CR118" s="74"/>
      <c r="CS118" s="74"/>
      <c r="CT118" s="74"/>
      <c r="CU118" s="74"/>
      <c r="CV118" s="74"/>
      <c r="CW118" s="74"/>
      <c r="CX118" s="74"/>
      <c r="CY118" s="74"/>
      <c r="CZ118" s="74"/>
      <c r="DA118" s="74"/>
      <c r="DB118" s="74"/>
      <c r="DC118" s="74"/>
    </row>
    <row r="119" spans="1:107" customFormat="1" x14ac:dyDescent="0.35">
      <c r="N119" s="24"/>
      <c r="O119" s="77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74"/>
      <c r="BM119" s="74"/>
      <c r="BN119" s="74"/>
      <c r="BO119" s="74"/>
      <c r="BP119" s="74"/>
      <c r="BQ119" s="74"/>
      <c r="BR119" s="74"/>
      <c r="BS119" s="74"/>
      <c r="BT119" s="74"/>
      <c r="BU119" s="74"/>
      <c r="BV119" s="74"/>
      <c r="BW119" s="74"/>
      <c r="BX119" s="74"/>
      <c r="BY119" s="74"/>
      <c r="BZ119" s="74"/>
      <c r="CA119" s="74"/>
      <c r="CB119" s="74"/>
      <c r="CC119" s="74"/>
      <c r="CD119" s="74"/>
      <c r="CE119" s="74"/>
      <c r="CF119" s="74"/>
      <c r="CG119" s="74"/>
      <c r="CH119" s="74"/>
      <c r="CI119" s="74"/>
      <c r="CJ119" s="74"/>
      <c r="CK119" s="74"/>
      <c r="CL119" s="74"/>
      <c r="CM119" s="74"/>
      <c r="CN119" s="74"/>
      <c r="CO119" s="74"/>
      <c r="CP119" s="74"/>
      <c r="CQ119" s="74"/>
      <c r="CR119" s="74"/>
      <c r="CS119" s="74"/>
      <c r="CT119" s="74"/>
      <c r="CU119" s="74"/>
      <c r="CV119" s="74"/>
      <c r="CW119" s="74"/>
      <c r="CX119" s="74"/>
      <c r="CY119" s="74"/>
      <c r="CZ119" s="74"/>
      <c r="DA119" s="74"/>
      <c r="DB119" s="74"/>
      <c r="DC119" s="74"/>
    </row>
    <row r="120" spans="1:107" customFormat="1" x14ac:dyDescent="0.35">
      <c r="N120" s="24"/>
      <c r="O120" s="77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4"/>
      <c r="BK120" s="74"/>
      <c r="BL120" s="74"/>
      <c r="BM120" s="74"/>
      <c r="BN120" s="74"/>
      <c r="BO120" s="74"/>
      <c r="BP120" s="74"/>
      <c r="BQ120" s="74"/>
      <c r="BR120" s="74"/>
      <c r="BS120" s="74"/>
      <c r="BT120" s="74"/>
      <c r="BU120" s="74"/>
      <c r="BV120" s="74"/>
      <c r="BW120" s="74"/>
      <c r="BX120" s="74"/>
      <c r="BY120" s="74"/>
      <c r="BZ120" s="74"/>
      <c r="CA120" s="74"/>
      <c r="CB120" s="74"/>
      <c r="CC120" s="74"/>
      <c r="CD120" s="74"/>
      <c r="CE120" s="74"/>
      <c r="CF120" s="74"/>
      <c r="CG120" s="74"/>
      <c r="CH120" s="74"/>
      <c r="CI120" s="74"/>
      <c r="CJ120" s="74"/>
      <c r="CK120" s="74"/>
      <c r="CL120" s="74"/>
      <c r="CM120" s="74"/>
      <c r="CN120" s="74"/>
      <c r="CO120" s="74"/>
      <c r="CP120" s="74"/>
      <c r="CQ120" s="74"/>
      <c r="CR120" s="74"/>
      <c r="CS120" s="74"/>
      <c r="CT120" s="74"/>
      <c r="CU120" s="74"/>
      <c r="CV120" s="74"/>
      <c r="CW120" s="74"/>
      <c r="CX120" s="74"/>
      <c r="CY120" s="74"/>
      <c r="CZ120" s="74"/>
      <c r="DA120" s="74"/>
      <c r="DB120" s="74"/>
      <c r="DC120" s="74"/>
    </row>
    <row r="121" spans="1:107" customFormat="1" x14ac:dyDescent="0.35">
      <c r="N121" s="24"/>
      <c r="O121" s="77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74"/>
      <c r="BN121" s="74"/>
      <c r="BO121" s="74"/>
      <c r="BP121" s="74"/>
      <c r="BQ121" s="74"/>
      <c r="BR121" s="74"/>
      <c r="BS121" s="74"/>
      <c r="BT121" s="74"/>
      <c r="BU121" s="74"/>
      <c r="BV121" s="74"/>
      <c r="BW121" s="74"/>
      <c r="BX121" s="74"/>
      <c r="BY121" s="74"/>
      <c r="BZ121" s="74"/>
      <c r="CA121" s="74"/>
      <c r="CB121" s="74"/>
      <c r="CC121" s="74"/>
      <c r="CD121" s="74"/>
      <c r="CE121" s="74"/>
      <c r="CF121" s="74"/>
      <c r="CG121" s="74"/>
      <c r="CH121" s="74"/>
      <c r="CI121" s="74"/>
      <c r="CJ121" s="74"/>
      <c r="CK121" s="74"/>
      <c r="CL121" s="74"/>
      <c r="CM121" s="74"/>
      <c r="CN121" s="74"/>
      <c r="CO121" s="74"/>
      <c r="CP121" s="74"/>
      <c r="CQ121" s="74"/>
      <c r="CR121" s="74"/>
      <c r="CS121" s="74"/>
      <c r="CT121" s="74"/>
      <c r="CU121" s="74"/>
      <c r="CV121" s="74"/>
      <c r="CW121" s="74"/>
      <c r="CX121" s="74"/>
      <c r="CY121" s="74"/>
      <c r="CZ121" s="74"/>
      <c r="DA121" s="74"/>
      <c r="DB121" s="74"/>
      <c r="DC121" s="74"/>
    </row>
    <row r="122" spans="1:107" customFormat="1" x14ac:dyDescent="0.35">
      <c r="N122" s="24"/>
      <c r="O122" s="77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4"/>
      <c r="BK122" s="74"/>
      <c r="BL122" s="74"/>
      <c r="BM122" s="74"/>
      <c r="BN122" s="74"/>
      <c r="BO122" s="74"/>
      <c r="BP122" s="74"/>
      <c r="BQ122" s="74"/>
      <c r="BR122" s="74"/>
      <c r="BS122" s="74"/>
      <c r="BT122" s="74"/>
      <c r="BU122" s="74"/>
      <c r="BV122" s="74"/>
      <c r="BW122" s="74"/>
      <c r="BX122" s="74"/>
      <c r="BY122" s="74"/>
      <c r="BZ122" s="74"/>
      <c r="CA122" s="74"/>
      <c r="CB122" s="74"/>
      <c r="CC122" s="74"/>
      <c r="CD122" s="74"/>
      <c r="CE122" s="74"/>
      <c r="CF122" s="74"/>
      <c r="CG122" s="74"/>
      <c r="CH122" s="74"/>
      <c r="CI122" s="74"/>
      <c r="CJ122" s="74"/>
      <c r="CK122" s="74"/>
      <c r="CL122" s="74"/>
      <c r="CM122" s="74"/>
      <c r="CN122" s="74"/>
      <c r="CO122" s="74"/>
      <c r="CP122" s="74"/>
      <c r="CQ122" s="74"/>
      <c r="CR122" s="74"/>
      <c r="CS122" s="74"/>
      <c r="CT122" s="74"/>
      <c r="CU122" s="74"/>
      <c r="CV122" s="74"/>
      <c r="CW122" s="74"/>
      <c r="CX122" s="74"/>
      <c r="CY122" s="74"/>
      <c r="CZ122" s="74"/>
      <c r="DA122" s="74"/>
      <c r="DB122" s="74"/>
      <c r="DC122" s="74"/>
    </row>
    <row r="123" spans="1:107" customFormat="1" x14ac:dyDescent="0.35">
      <c r="N123" s="24"/>
      <c r="O123" s="77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74"/>
      <c r="BM123" s="74"/>
      <c r="BN123" s="74"/>
      <c r="BO123" s="74"/>
      <c r="BP123" s="74"/>
      <c r="BQ123" s="74"/>
      <c r="BR123" s="74"/>
      <c r="BS123" s="74"/>
      <c r="BT123" s="74"/>
      <c r="BU123" s="74"/>
      <c r="BV123" s="74"/>
      <c r="BW123" s="74"/>
      <c r="BX123" s="74"/>
      <c r="BY123" s="74"/>
      <c r="BZ123" s="74"/>
      <c r="CA123" s="74"/>
      <c r="CB123" s="74"/>
      <c r="CC123" s="74"/>
      <c r="CD123" s="74"/>
      <c r="CE123" s="74"/>
      <c r="CF123" s="74"/>
      <c r="CG123" s="74"/>
      <c r="CH123" s="74"/>
      <c r="CI123" s="74"/>
      <c r="CJ123" s="74"/>
      <c r="CK123" s="74"/>
      <c r="CL123" s="74"/>
      <c r="CM123" s="74"/>
      <c r="CN123" s="74"/>
      <c r="CO123" s="74"/>
      <c r="CP123" s="74"/>
      <c r="CQ123" s="74"/>
      <c r="CR123" s="74"/>
      <c r="CS123" s="74"/>
      <c r="CT123" s="74"/>
      <c r="CU123" s="74"/>
      <c r="CV123" s="74"/>
      <c r="CW123" s="74"/>
      <c r="CX123" s="74"/>
      <c r="CY123" s="74"/>
      <c r="CZ123" s="74"/>
      <c r="DA123" s="74"/>
      <c r="DB123" s="74"/>
      <c r="DC123" s="74"/>
    </row>
    <row r="124" spans="1:107" customFormat="1" x14ac:dyDescent="0.35">
      <c r="N124" s="24"/>
      <c r="O124" s="77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4"/>
      <c r="BK124" s="74"/>
      <c r="BL124" s="74"/>
      <c r="BM124" s="74"/>
      <c r="BN124" s="74"/>
      <c r="BO124" s="74"/>
      <c r="BP124" s="74"/>
      <c r="BQ124" s="74"/>
      <c r="BR124" s="74"/>
      <c r="BS124" s="74"/>
      <c r="BT124" s="74"/>
      <c r="BU124" s="74"/>
      <c r="BV124" s="74"/>
      <c r="BW124" s="74"/>
      <c r="BX124" s="74"/>
      <c r="BY124" s="74"/>
      <c r="BZ124" s="74"/>
      <c r="CA124" s="74"/>
      <c r="CB124" s="74"/>
      <c r="CC124" s="74"/>
      <c r="CD124" s="74"/>
      <c r="CE124" s="74"/>
      <c r="CF124" s="74"/>
      <c r="CG124" s="74"/>
      <c r="CH124" s="74"/>
      <c r="CI124" s="74"/>
      <c r="CJ124" s="74"/>
      <c r="CK124" s="74"/>
      <c r="CL124" s="74"/>
      <c r="CM124" s="74"/>
      <c r="CN124" s="74"/>
      <c r="CO124" s="74"/>
      <c r="CP124" s="74"/>
      <c r="CQ124" s="74"/>
      <c r="CR124" s="74"/>
      <c r="CS124" s="74"/>
      <c r="CT124" s="74"/>
      <c r="CU124" s="74"/>
      <c r="CV124" s="74"/>
      <c r="CW124" s="74"/>
      <c r="CX124" s="74"/>
      <c r="CY124" s="74"/>
      <c r="CZ124" s="74"/>
      <c r="DA124" s="74"/>
      <c r="DB124" s="74"/>
      <c r="DC124" s="74"/>
    </row>
    <row r="125" spans="1:107" customFormat="1" x14ac:dyDescent="0.35">
      <c r="N125" s="24"/>
      <c r="O125" s="77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74"/>
      <c r="BM125" s="74"/>
      <c r="BN125" s="74"/>
      <c r="BO125" s="74"/>
      <c r="BP125" s="74"/>
      <c r="BQ125" s="74"/>
      <c r="BR125" s="74"/>
      <c r="BS125" s="74"/>
      <c r="BT125" s="74"/>
      <c r="BU125" s="74"/>
      <c r="BV125" s="74"/>
      <c r="BW125" s="74"/>
      <c r="BX125" s="74"/>
      <c r="BY125" s="74"/>
      <c r="BZ125" s="74"/>
      <c r="CA125" s="74"/>
      <c r="CB125" s="74"/>
      <c r="CC125" s="74"/>
      <c r="CD125" s="74"/>
      <c r="CE125" s="74"/>
      <c r="CF125" s="74"/>
      <c r="CG125" s="74"/>
      <c r="CH125" s="74"/>
      <c r="CI125" s="74"/>
      <c r="CJ125" s="74"/>
      <c r="CK125" s="74"/>
      <c r="CL125" s="74"/>
      <c r="CM125" s="74"/>
      <c r="CN125" s="74"/>
      <c r="CO125" s="74"/>
      <c r="CP125" s="74"/>
      <c r="CQ125" s="74"/>
      <c r="CR125" s="74"/>
      <c r="CS125" s="74"/>
      <c r="CT125" s="74"/>
      <c r="CU125" s="74"/>
      <c r="CV125" s="74"/>
      <c r="CW125" s="74"/>
      <c r="CX125" s="74"/>
      <c r="CY125" s="74"/>
      <c r="CZ125" s="74"/>
      <c r="DA125" s="74"/>
      <c r="DB125" s="74"/>
      <c r="DC125" s="74"/>
    </row>
    <row r="126" spans="1:107" customFormat="1" x14ac:dyDescent="0.35">
      <c r="N126" s="24"/>
      <c r="O126" s="77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74"/>
      <c r="BM126" s="74"/>
      <c r="BN126" s="74"/>
      <c r="BO126" s="74"/>
      <c r="BP126" s="74"/>
      <c r="BQ126" s="74"/>
      <c r="BR126" s="74"/>
      <c r="BS126" s="74"/>
      <c r="BT126" s="74"/>
      <c r="BU126" s="74"/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/>
      <c r="CP126" s="74"/>
      <c r="CQ126" s="74"/>
      <c r="CR126" s="74"/>
      <c r="CS126" s="74"/>
      <c r="CT126" s="74"/>
      <c r="CU126" s="74"/>
      <c r="CV126" s="74"/>
      <c r="CW126" s="74"/>
      <c r="CX126" s="74"/>
      <c r="CY126" s="74"/>
      <c r="CZ126" s="74"/>
      <c r="DA126" s="74"/>
      <c r="DB126" s="74"/>
      <c r="DC126" s="74"/>
    </row>
    <row r="127" spans="1:107" customFormat="1" x14ac:dyDescent="0.35">
      <c r="N127" s="24"/>
      <c r="O127" s="77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74"/>
      <c r="BM127" s="74"/>
      <c r="BN127" s="74"/>
      <c r="BO127" s="74"/>
      <c r="BP127" s="74"/>
      <c r="BQ127" s="74"/>
      <c r="BR127" s="74"/>
      <c r="BS127" s="74"/>
      <c r="BT127" s="74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74"/>
      <c r="CU127" s="74"/>
      <c r="CV127" s="74"/>
      <c r="CW127" s="74"/>
      <c r="CX127" s="74"/>
      <c r="CY127" s="74"/>
      <c r="CZ127" s="74"/>
      <c r="DA127" s="74"/>
      <c r="DB127" s="74"/>
      <c r="DC127" s="74"/>
    </row>
    <row r="128" spans="1:107" customFormat="1" x14ac:dyDescent="0.35">
      <c r="N128" s="24"/>
      <c r="O128" s="77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74"/>
      <c r="BM128" s="74"/>
      <c r="BN128" s="74"/>
      <c r="BO128" s="74"/>
      <c r="BP128" s="74"/>
      <c r="BQ128" s="74"/>
      <c r="BR128" s="74"/>
      <c r="BS128" s="74"/>
      <c r="BT128" s="74"/>
      <c r="BU128" s="74"/>
      <c r="BV128" s="74"/>
      <c r="BW128" s="74"/>
      <c r="BX128" s="74"/>
      <c r="BY128" s="74"/>
      <c r="BZ128" s="74"/>
      <c r="CA128" s="74"/>
      <c r="CB128" s="74"/>
      <c r="CC128" s="74"/>
      <c r="CD128" s="74"/>
      <c r="CE128" s="74"/>
      <c r="CF128" s="74"/>
      <c r="CG128" s="74"/>
      <c r="CH128" s="74"/>
      <c r="CI128" s="74"/>
      <c r="CJ128" s="74"/>
      <c r="CK128" s="74"/>
      <c r="CL128" s="74"/>
      <c r="CM128" s="74"/>
      <c r="CN128" s="74"/>
      <c r="CO128" s="74"/>
      <c r="CP128" s="74"/>
      <c r="CQ128" s="74"/>
      <c r="CR128" s="74"/>
      <c r="CS128" s="74"/>
      <c r="CT128" s="74"/>
      <c r="CU128" s="74"/>
      <c r="CV128" s="74"/>
      <c r="CW128" s="74"/>
      <c r="CX128" s="74"/>
      <c r="CY128" s="74"/>
      <c r="CZ128" s="74"/>
      <c r="DA128" s="74"/>
      <c r="DB128" s="74"/>
      <c r="DC128" s="74"/>
    </row>
    <row r="129" spans="14:107" customFormat="1" x14ac:dyDescent="0.35">
      <c r="N129" s="24"/>
      <c r="O129" s="77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74"/>
      <c r="BM129" s="74"/>
      <c r="BN129" s="74"/>
      <c r="BO129" s="74"/>
      <c r="BP129" s="74"/>
      <c r="BQ129" s="74"/>
      <c r="BR129" s="74"/>
      <c r="BS129" s="74"/>
      <c r="BT129" s="74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74"/>
      <c r="CU129" s="74"/>
      <c r="CV129" s="74"/>
      <c r="CW129" s="74"/>
      <c r="CX129" s="74"/>
      <c r="CY129" s="74"/>
      <c r="CZ129" s="74"/>
      <c r="DA129" s="74"/>
      <c r="DB129" s="74"/>
      <c r="DC129" s="74"/>
    </row>
    <row r="130" spans="14:107" customFormat="1" x14ac:dyDescent="0.35">
      <c r="N130" s="24"/>
      <c r="O130" s="77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74"/>
      <c r="CU130" s="74"/>
      <c r="CV130" s="74"/>
      <c r="CW130" s="74"/>
      <c r="CX130" s="74"/>
      <c r="CY130" s="74"/>
      <c r="CZ130" s="74"/>
      <c r="DA130" s="74"/>
      <c r="DB130" s="74"/>
      <c r="DC130" s="74"/>
    </row>
    <row r="131" spans="14:107" customFormat="1" x14ac:dyDescent="0.35">
      <c r="N131" s="24"/>
      <c r="O131" s="77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74"/>
      <c r="CU131" s="74"/>
      <c r="CV131" s="74"/>
      <c r="CW131" s="74"/>
      <c r="CX131" s="74"/>
      <c r="CY131" s="74"/>
      <c r="CZ131" s="74"/>
      <c r="DA131" s="74"/>
      <c r="DB131" s="74"/>
      <c r="DC131" s="74"/>
    </row>
    <row r="132" spans="14:107" customFormat="1" x14ac:dyDescent="0.35">
      <c r="N132" s="24"/>
      <c r="O132" s="77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74"/>
      <c r="CU132" s="74"/>
      <c r="CV132" s="74"/>
      <c r="CW132" s="74"/>
      <c r="CX132" s="74"/>
      <c r="CY132" s="74"/>
      <c r="CZ132" s="74"/>
      <c r="DA132" s="74"/>
      <c r="DB132" s="74"/>
      <c r="DC132" s="74"/>
    </row>
    <row r="133" spans="14:107" customFormat="1" x14ac:dyDescent="0.35">
      <c r="N133" s="24"/>
      <c r="O133" s="77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74"/>
      <c r="CU133" s="74"/>
      <c r="CV133" s="74"/>
      <c r="CW133" s="74"/>
      <c r="CX133" s="74"/>
      <c r="CY133" s="74"/>
      <c r="CZ133" s="74"/>
      <c r="DA133" s="74"/>
      <c r="DB133" s="74"/>
      <c r="DC133" s="74"/>
    </row>
    <row r="134" spans="14:107" customFormat="1" x14ac:dyDescent="0.35">
      <c r="N134" s="24"/>
      <c r="O134" s="77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74"/>
      <c r="CU134" s="74"/>
      <c r="CV134" s="74"/>
      <c r="CW134" s="74"/>
      <c r="CX134" s="74"/>
      <c r="CY134" s="74"/>
      <c r="CZ134" s="74"/>
      <c r="DA134" s="74"/>
      <c r="DB134" s="74"/>
      <c r="DC134" s="74"/>
    </row>
    <row r="135" spans="14:107" customFormat="1" x14ac:dyDescent="0.35">
      <c r="N135" s="24"/>
      <c r="O135" s="77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74"/>
      <c r="CU135" s="74"/>
      <c r="CV135" s="74"/>
      <c r="CW135" s="74"/>
      <c r="CX135" s="74"/>
      <c r="CY135" s="74"/>
      <c r="CZ135" s="74"/>
      <c r="DA135" s="74"/>
      <c r="DB135" s="74"/>
      <c r="DC135" s="74"/>
    </row>
    <row r="136" spans="14:107" customFormat="1" x14ac:dyDescent="0.35">
      <c r="N136" s="24"/>
      <c r="O136" s="77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74"/>
      <c r="CU136" s="74"/>
      <c r="CV136" s="74"/>
      <c r="CW136" s="74"/>
      <c r="CX136" s="74"/>
      <c r="CY136" s="74"/>
      <c r="CZ136" s="74"/>
      <c r="DA136" s="74"/>
      <c r="DB136" s="74"/>
      <c r="DC136" s="74"/>
    </row>
    <row r="137" spans="14:107" customFormat="1" x14ac:dyDescent="0.35">
      <c r="N137" s="24"/>
      <c r="O137" s="77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74"/>
      <c r="CU137" s="74"/>
      <c r="CV137" s="74"/>
      <c r="CW137" s="74"/>
      <c r="CX137" s="74"/>
      <c r="CY137" s="74"/>
      <c r="CZ137" s="74"/>
      <c r="DA137" s="74"/>
      <c r="DB137" s="74"/>
      <c r="DC137" s="74"/>
    </row>
    <row r="138" spans="14:107" customFormat="1" x14ac:dyDescent="0.35">
      <c r="N138" s="24"/>
      <c r="O138" s="77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74"/>
      <c r="CU138" s="74"/>
      <c r="CV138" s="74"/>
      <c r="CW138" s="74"/>
      <c r="CX138" s="74"/>
      <c r="CY138" s="74"/>
      <c r="CZ138" s="74"/>
      <c r="DA138" s="74"/>
      <c r="DB138" s="74"/>
      <c r="DC138" s="74"/>
    </row>
    <row r="139" spans="14:107" customFormat="1" x14ac:dyDescent="0.35">
      <c r="N139" s="24"/>
      <c r="O139" s="77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74"/>
      <c r="CU139" s="74"/>
      <c r="CV139" s="74"/>
      <c r="CW139" s="74"/>
      <c r="CX139" s="74"/>
      <c r="CY139" s="74"/>
      <c r="CZ139" s="74"/>
      <c r="DA139" s="74"/>
      <c r="DB139" s="74"/>
      <c r="DC139" s="74"/>
    </row>
    <row r="140" spans="14:107" customFormat="1" x14ac:dyDescent="0.35">
      <c r="N140" s="24"/>
      <c r="O140" s="77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4"/>
      <c r="BK140" s="74"/>
      <c r="BL140" s="74"/>
      <c r="BM140" s="74"/>
      <c r="BN140" s="74"/>
      <c r="BO140" s="74"/>
      <c r="BP140" s="74"/>
      <c r="BQ140" s="74"/>
      <c r="BR140" s="74"/>
      <c r="BS140" s="74"/>
      <c r="BT140" s="74"/>
      <c r="BU140" s="74"/>
      <c r="BV140" s="74"/>
      <c r="BW140" s="74"/>
      <c r="BX140" s="74"/>
      <c r="BY140" s="74"/>
      <c r="BZ140" s="74"/>
      <c r="CA140" s="74"/>
      <c r="CB140" s="74"/>
      <c r="CC140" s="74"/>
      <c r="CD140" s="74"/>
      <c r="CE140" s="74"/>
      <c r="CF140" s="74"/>
      <c r="CG140" s="74"/>
      <c r="CH140" s="74"/>
      <c r="CI140" s="74"/>
      <c r="CJ140" s="74"/>
      <c r="CK140" s="74"/>
      <c r="CL140" s="74"/>
      <c r="CM140" s="74"/>
      <c r="CN140" s="74"/>
      <c r="CO140" s="74"/>
      <c r="CP140" s="74"/>
      <c r="CQ140" s="74"/>
      <c r="CR140" s="74"/>
      <c r="CS140" s="74"/>
      <c r="CT140" s="74"/>
      <c r="CU140" s="74"/>
      <c r="CV140" s="74"/>
      <c r="CW140" s="74"/>
      <c r="CX140" s="74"/>
      <c r="CY140" s="74"/>
      <c r="CZ140" s="74"/>
      <c r="DA140" s="74"/>
      <c r="DB140" s="74"/>
      <c r="DC140" s="74"/>
    </row>
    <row r="141" spans="14:107" customFormat="1" x14ac:dyDescent="0.35">
      <c r="N141" s="24"/>
      <c r="O141" s="77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74"/>
      <c r="BM141" s="74"/>
      <c r="BN141" s="74"/>
      <c r="BO141" s="74"/>
      <c r="BP141" s="74"/>
      <c r="BQ141" s="74"/>
      <c r="BR141" s="74"/>
      <c r="BS141" s="74"/>
      <c r="BT141" s="74"/>
      <c r="BU141" s="74"/>
      <c r="BV141" s="74"/>
      <c r="BW141" s="74"/>
      <c r="BX141" s="74"/>
      <c r="BY141" s="74"/>
      <c r="BZ141" s="74"/>
      <c r="CA141" s="74"/>
      <c r="CB141" s="74"/>
      <c r="CC141" s="74"/>
      <c r="CD141" s="74"/>
      <c r="CE141" s="74"/>
      <c r="CF141" s="74"/>
      <c r="CG141" s="74"/>
      <c r="CH141" s="74"/>
      <c r="CI141" s="74"/>
      <c r="CJ141" s="74"/>
      <c r="CK141" s="74"/>
      <c r="CL141" s="74"/>
      <c r="CM141" s="74"/>
      <c r="CN141" s="74"/>
      <c r="CO141" s="74"/>
      <c r="CP141" s="74"/>
      <c r="CQ141" s="74"/>
      <c r="CR141" s="74"/>
      <c r="CS141" s="74"/>
      <c r="CT141" s="74"/>
      <c r="CU141" s="74"/>
      <c r="CV141" s="74"/>
      <c r="CW141" s="74"/>
      <c r="CX141" s="74"/>
      <c r="CY141" s="74"/>
      <c r="CZ141" s="74"/>
      <c r="DA141" s="74"/>
      <c r="DB141" s="74"/>
      <c r="DC141" s="74"/>
    </row>
    <row r="142" spans="14:107" customFormat="1" x14ac:dyDescent="0.35">
      <c r="N142" s="24"/>
      <c r="O142" s="77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74"/>
      <c r="BM142" s="74"/>
      <c r="BN142" s="74"/>
      <c r="BO142" s="74"/>
      <c r="BP142" s="74"/>
      <c r="BQ142" s="74"/>
      <c r="BR142" s="74"/>
      <c r="BS142" s="74"/>
      <c r="BT142" s="74"/>
      <c r="BU142" s="74"/>
      <c r="BV142" s="74"/>
      <c r="BW142" s="74"/>
      <c r="BX142" s="74"/>
      <c r="BY142" s="74"/>
      <c r="BZ142" s="74"/>
      <c r="CA142" s="74"/>
      <c r="CB142" s="74"/>
      <c r="CC142" s="74"/>
      <c r="CD142" s="74"/>
      <c r="CE142" s="74"/>
      <c r="CF142" s="74"/>
      <c r="CG142" s="74"/>
      <c r="CH142" s="74"/>
      <c r="CI142" s="74"/>
      <c r="CJ142" s="74"/>
      <c r="CK142" s="74"/>
      <c r="CL142" s="74"/>
      <c r="CM142" s="74"/>
      <c r="CN142" s="74"/>
      <c r="CO142" s="74"/>
      <c r="CP142" s="74"/>
      <c r="CQ142" s="74"/>
      <c r="CR142" s="74"/>
      <c r="CS142" s="74"/>
      <c r="CT142" s="74"/>
      <c r="CU142" s="74"/>
      <c r="CV142" s="74"/>
      <c r="CW142" s="74"/>
      <c r="CX142" s="74"/>
      <c r="CY142" s="74"/>
      <c r="CZ142" s="74"/>
      <c r="DA142" s="74"/>
      <c r="DB142" s="74"/>
      <c r="DC142" s="74"/>
    </row>
    <row r="143" spans="14:107" customFormat="1" x14ac:dyDescent="0.35">
      <c r="N143" s="24"/>
      <c r="O143" s="77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74"/>
      <c r="BM143" s="74"/>
      <c r="BN143" s="74"/>
      <c r="BO143" s="74"/>
      <c r="BP143" s="74"/>
      <c r="BQ143" s="74"/>
      <c r="BR143" s="74"/>
      <c r="BS143" s="74"/>
      <c r="BT143" s="74"/>
      <c r="BU143" s="74"/>
      <c r="BV143" s="74"/>
      <c r="BW143" s="74"/>
      <c r="BX143" s="74"/>
      <c r="BY143" s="74"/>
      <c r="BZ143" s="74"/>
      <c r="CA143" s="74"/>
      <c r="CB143" s="74"/>
      <c r="CC143" s="74"/>
      <c r="CD143" s="74"/>
      <c r="CE143" s="74"/>
      <c r="CF143" s="74"/>
      <c r="CG143" s="74"/>
      <c r="CH143" s="74"/>
      <c r="CI143" s="74"/>
      <c r="CJ143" s="74"/>
      <c r="CK143" s="74"/>
      <c r="CL143" s="74"/>
      <c r="CM143" s="74"/>
      <c r="CN143" s="74"/>
      <c r="CO143" s="74"/>
      <c r="CP143" s="74"/>
      <c r="CQ143" s="74"/>
      <c r="CR143" s="74"/>
      <c r="CS143" s="74"/>
      <c r="CT143" s="74"/>
      <c r="CU143" s="74"/>
      <c r="CV143" s="74"/>
      <c r="CW143" s="74"/>
      <c r="CX143" s="74"/>
      <c r="CY143" s="74"/>
      <c r="CZ143" s="74"/>
      <c r="DA143" s="74"/>
      <c r="DB143" s="74"/>
      <c r="DC143" s="74"/>
    </row>
    <row r="144" spans="14:107" customFormat="1" x14ac:dyDescent="0.35">
      <c r="N144" s="24"/>
      <c r="O144" s="77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4"/>
      <c r="BP144" s="74"/>
      <c r="BQ144" s="74"/>
      <c r="BR144" s="74"/>
      <c r="BS144" s="74"/>
      <c r="BT144" s="74"/>
      <c r="BU144" s="74"/>
      <c r="BV144" s="74"/>
      <c r="BW144" s="74"/>
      <c r="BX144" s="74"/>
      <c r="BY144" s="74"/>
      <c r="BZ144" s="74"/>
      <c r="CA144" s="74"/>
      <c r="CB144" s="74"/>
      <c r="CC144" s="74"/>
      <c r="CD144" s="74"/>
      <c r="CE144" s="74"/>
      <c r="CF144" s="74"/>
      <c r="CG144" s="74"/>
      <c r="CH144" s="74"/>
      <c r="CI144" s="74"/>
      <c r="CJ144" s="74"/>
      <c r="CK144" s="74"/>
      <c r="CL144" s="74"/>
      <c r="CM144" s="74"/>
      <c r="CN144" s="74"/>
      <c r="CO144" s="74"/>
      <c r="CP144" s="74"/>
      <c r="CQ144" s="74"/>
      <c r="CR144" s="74"/>
      <c r="CS144" s="74"/>
      <c r="CT144" s="74"/>
      <c r="CU144" s="74"/>
      <c r="CV144" s="74"/>
      <c r="CW144" s="74"/>
      <c r="CX144" s="74"/>
      <c r="CY144" s="74"/>
      <c r="CZ144" s="74"/>
      <c r="DA144" s="74"/>
      <c r="DB144" s="74"/>
      <c r="DC144" s="74"/>
    </row>
    <row r="145" spans="14:107" customFormat="1" x14ac:dyDescent="0.35">
      <c r="N145" s="24"/>
      <c r="O145" s="77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4"/>
      <c r="BK145" s="74"/>
      <c r="BL145" s="74"/>
      <c r="BM145" s="74"/>
      <c r="BN145" s="74"/>
      <c r="BO145" s="74"/>
      <c r="BP145" s="74"/>
      <c r="BQ145" s="74"/>
      <c r="BR145" s="74"/>
      <c r="BS145" s="74"/>
      <c r="BT145" s="74"/>
      <c r="BU145" s="74"/>
      <c r="BV145" s="74"/>
      <c r="BW145" s="74"/>
      <c r="BX145" s="74"/>
      <c r="BY145" s="74"/>
      <c r="BZ145" s="74"/>
      <c r="CA145" s="74"/>
      <c r="CB145" s="74"/>
      <c r="CC145" s="74"/>
      <c r="CD145" s="74"/>
      <c r="CE145" s="74"/>
      <c r="CF145" s="74"/>
      <c r="CG145" s="74"/>
      <c r="CH145" s="74"/>
      <c r="CI145" s="74"/>
      <c r="CJ145" s="74"/>
      <c r="CK145" s="74"/>
      <c r="CL145" s="74"/>
      <c r="CM145" s="74"/>
      <c r="CN145" s="74"/>
      <c r="CO145" s="74"/>
      <c r="CP145" s="74"/>
      <c r="CQ145" s="74"/>
      <c r="CR145" s="74"/>
      <c r="CS145" s="74"/>
      <c r="CT145" s="74"/>
      <c r="CU145" s="74"/>
      <c r="CV145" s="74"/>
      <c r="CW145" s="74"/>
      <c r="CX145" s="74"/>
      <c r="CY145" s="74"/>
      <c r="CZ145" s="74"/>
      <c r="DA145" s="74"/>
      <c r="DB145" s="74"/>
      <c r="DC145" s="74"/>
    </row>
    <row r="146" spans="14:107" customFormat="1" x14ac:dyDescent="0.35">
      <c r="N146" s="24"/>
      <c r="O146" s="77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74"/>
      <c r="BM146" s="74"/>
      <c r="BN146" s="74"/>
      <c r="BO146" s="74"/>
      <c r="BP146" s="74"/>
      <c r="BQ146" s="74"/>
      <c r="BR146" s="74"/>
      <c r="BS146" s="74"/>
      <c r="BT146" s="74"/>
      <c r="BU146" s="74"/>
      <c r="BV146" s="74"/>
      <c r="BW146" s="74"/>
      <c r="BX146" s="74"/>
      <c r="BY146" s="74"/>
      <c r="BZ146" s="74"/>
      <c r="CA146" s="74"/>
      <c r="CB146" s="74"/>
      <c r="CC146" s="74"/>
      <c r="CD146" s="74"/>
      <c r="CE146" s="74"/>
      <c r="CF146" s="74"/>
      <c r="CG146" s="74"/>
      <c r="CH146" s="74"/>
      <c r="CI146" s="74"/>
      <c r="CJ146" s="74"/>
      <c r="CK146" s="74"/>
      <c r="CL146" s="74"/>
      <c r="CM146" s="74"/>
      <c r="CN146" s="74"/>
      <c r="CO146" s="74"/>
      <c r="CP146" s="74"/>
      <c r="CQ146" s="74"/>
      <c r="CR146" s="74"/>
      <c r="CS146" s="74"/>
      <c r="CT146" s="74"/>
      <c r="CU146" s="74"/>
      <c r="CV146" s="74"/>
      <c r="CW146" s="74"/>
      <c r="CX146" s="74"/>
      <c r="CY146" s="74"/>
      <c r="CZ146" s="74"/>
      <c r="DA146" s="74"/>
      <c r="DB146" s="74"/>
      <c r="DC146" s="74"/>
    </row>
    <row r="147" spans="14:107" customFormat="1" x14ac:dyDescent="0.35">
      <c r="N147" s="24"/>
      <c r="O147" s="77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4"/>
      <c r="BK147" s="74"/>
      <c r="BL147" s="74"/>
      <c r="BM147" s="74"/>
      <c r="BN147" s="74"/>
      <c r="BO147" s="74"/>
      <c r="BP147" s="74"/>
      <c r="BQ147" s="74"/>
      <c r="BR147" s="74"/>
      <c r="BS147" s="74"/>
      <c r="BT147" s="74"/>
      <c r="BU147" s="74"/>
      <c r="BV147" s="74"/>
      <c r="BW147" s="74"/>
      <c r="BX147" s="74"/>
      <c r="BY147" s="74"/>
      <c r="BZ147" s="74"/>
      <c r="CA147" s="74"/>
      <c r="CB147" s="74"/>
      <c r="CC147" s="74"/>
      <c r="CD147" s="74"/>
      <c r="CE147" s="74"/>
      <c r="CF147" s="74"/>
      <c r="CG147" s="74"/>
      <c r="CH147" s="74"/>
      <c r="CI147" s="74"/>
      <c r="CJ147" s="74"/>
      <c r="CK147" s="74"/>
      <c r="CL147" s="74"/>
      <c r="CM147" s="74"/>
      <c r="CN147" s="74"/>
      <c r="CO147" s="74"/>
      <c r="CP147" s="74"/>
      <c r="CQ147" s="74"/>
      <c r="CR147" s="74"/>
      <c r="CS147" s="74"/>
      <c r="CT147" s="74"/>
      <c r="CU147" s="74"/>
      <c r="CV147" s="74"/>
      <c r="CW147" s="74"/>
      <c r="CX147" s="74"/>
      <c r="CY147" s="74"/>
      <c r="CZ147" s="74"/>
      <c r="DA147" s="74"/>
      <c r="DB147" s="74"/>
      <c r="DC147" s="74"/>
    </row>
    <row r="148" spans="14:107" customFormat="1" x14ac:dyDescent="0.35">
      <c r="N148" s="24"/>
      <c r="O148" s="77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74"/>
      <c r="BM148" s="74"/>
      <c r="BN148" s="74"/>
      <c r="BO148" s="74"/>
      <c r="BP148" s="74"/>
      <c r="BQ148" s="74"/>
      <c r="BR148" s="74"/>
      <c r="BS148" s="74"/>
      <c r="BT148" s="74"/>
      <c r="BU148" s="74"/>
      <c r="BV148" s="74"/>
      <c r="BW148" s="74"/>
      <c r="BX148" s="74"/>
      <c r="BY148" s="74"/>
      <c r="BZ148" s="74"/>
      <c r="CA148" s="74"/>
      <c r="CB148" s="74"/>
      <c r="CC148" s="74"/>
      <c r="CD148" s="74"/>
      <c r="CE148" s="74"/>
      <c r="CF148" s="74"/>
      <c r="CG148" s="74"/>
      <c r="CH148" s="74"/>
      <c r="CI148" s="74"/>
      <c r="CJ148" s="74"/>
      <c r="CK148" s="74"/>
      <c r="CL148" s="74"/>
      <c r="CM148" s="74"/>
      <c r="CN148" s="74"/>
      <c r="CO148" s="74"/>
      <c r="CP148" s="74"/>
      <c r="CQ148" s="74"/>
      <c r="CR148" s="74"/>
      <c r="CS148" s="74"/>
      <c r="CT148" s="74"/>
      <c r="CU148" s="74"/>
      <c r="CV148" s="74"/>
      <c r="CW148" s="74"/>
      <c r="CX148" s="74"/>
      <c r="CY148" s="74"/>
      <c r="CZ148" s="74"/>
      <c r="DA148" s="74"/>
      <c r="DB148" s="74"/>
      <c r="DC148" s="74"/>
    </row>
    <row r="149" spans="14:107" customFormat="1" x14ac:dyDescent="0.35">
      <c r="O149" s="76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74"/>
      <c r="BM149" s="74"/>
      <c r="BN149" s="74"/>
      <c r="BO149" s="74"/>
      <c r="BP149" s="74"/>
      <c r="BQ149" s="74"/>
      <c r="BR149" s="74"/>
      <c r="BS149" s="74"/>
      <c r="BT149" s="74"/>
      <c r="BU149" s="74"/>
      <c r="BV149" s="74"/>
      <c r="BW149" s="74"/>
      <c r="BX149" s="74"/>
      <c r="BY149" s="74"/>
      <c r="BZ149" s="74"/>
      <c r="CA149" s="74"/>
      <c r="CB149" s="74"/>
      <c r="CC149" s="74"/>
      <c r="CD149" s="74"/>
      <c r="CE149" s="74"/>
      <c r="CF149" s="74"/>
      <c r="CG149" s="74"/>
      <c r="CH149" s="74"/>
      <c r="CI149" s="74"/>
      <c r="CJ149" s="74"/>
      <c r="CK149" s="74"/>
      <c r="CL149" s="74"/>
      <c r="CM149" s="74"/>
      <c r="CN149" s="74"/>
      <c r="CO149" s="74"/>
      <c r="CP149" s="74"/>
      <c r="CQ149" s="74"/>
      <c r="CR149" s="74"/>
      <c r="CS149" s="74"/>
      <c r="CT149" s="74"/>
      <c r="CU149" s="74"/>
      <c r="CV149" s="74"/>
      <c r="CW149" s="74"/>
      <c r="CX149" s="74"/>
      <c r="CY149" s="74"/>
      <c r="CZ149" s="74"/>
      <c r="DA149" s="74"/>
      <c r="DB149" s="74"/>
      <c r="DC149" s="74"/>
    </row>
    <row r="150" spans="14:107" customFormat="1" x14ac:dyDescent="0.35">
      <c r="O150" s="76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74"/>
      <c r="BM150" s="74"/>
      <c r="BN150" s="74"/>
      <c r="BO150" s="74"/>
      <c r="BP150" s="74"/>
      <c r="BQ150" s="74"/>
      <c r="BR150" s="74"/>
      <c r="BS150" s="74"/>
      <c r="BT150" s="74"/>
      <c r="BU150" s="74"/>
      <c r="BV150" s="74"/>
      <c r="BW150" s="74"/>
      <c r="BX150" s="74"/>
      <c r="BY150" s="74"/>
      <c r="BZ150" s="74"/>
      <c r="CA150" s="74"/>
      <c r="CB150" s="74"/>
      <c r="CC150" s="74"/>
      <c r="CD150" s="74"/>
      <c r="CE150" s="74"/>
      <c r="CF150" s="74"/>
      <c r="CG150" s="74"/>
      <c r="CH150" s="74"/>
      <c r="CI150" s="74"/>
      <c r="CJ150" s="74"/>
      <c r="CK150" s="74"/>
      <c r="CL150" s="74"/>
      <c r="CM150" s="74"/>
      <c r="CN150" s="74"/>
      <c r="CO150" s="74"/>
      <c r="CP150" s="74"/>
      <c r="CQ150" s="74"/>
      <c r="CR150" s="74"/>
      <c r="CS150" s="74"/>
      <c r="CT150" s="74"/>
      <c r="CU150" s="74"/>
      <c r="CV150" s="74"/>
      <c r="CW150" s="74"/>
      <c r="CX150" s="74"/>
      <c r="CY150" s="74"/>
      <c r="CZ150" s="74"/>
      <c r="DA150" s="74"/>
      <c r="DB150" s="74"/>
      <c r="DC150" s="74"/>
    </row>
    <row r="151" spans="14:107" customFormat="1" x14ac:dyDescent="0.35">
      <c r="O151" s="76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74"/>
      <c r="BM151" s="74"/>
      <c r="BN151" s="74"/>
      <c r="BO151" s="74"/>
      <c r="BP151" s="74"/>
      <c r="BQ151" s="74"/>
      <c r="BR151" s="74"/>
      <c r="BS151" s="74"/>
      <c r="BT151" s="74"/>
      <c r="BU151" s="74"/>
      <c r="BV151" s="74"/>
      <c r="BW151" s="74"/>
      <c r="BX151" s="74"/>
      <c r="BY151" s="74"/>
      <c r="BZ151" s="74"/>
      <c r="CA151" s="74"/>
      <c r="CB151" s="74"/>
      <c r="CC151" s="74"/>
      <c r="CD151" s="74"/>
      <c r="CE151" s="74"/>
      <c r="CF151" s="74"/>
      <c r="CG151" s="74"/>
      <c r="CH151" s="74"/>
      <c r="CI151" s="74"/>
      <c r="CJ151" s="74"/>
      <c r="CK151" s="74"/>
      <c r="CL151" s="74"/>
      <c r="CM151" s="74"/>
      <c r="CN151" s="74"/>
      <c r="CO151" s="74"/>
      <c r="CP151" s="74"/>
      <c r="CQ151" s="74"/>
      <c r="CR151" s="74"/>
      <c r="CS151" s="74"/>
      <c r="CT151" s="74"/>
      <c r="CU151" s="74"/>
      <c r="CV151" s="74"/>
      <c r="CW151" s="74"/>
      <c r="CX151" s="74"/>
      <c r="CY151" s="74"/>
      <c r="CZ151" s="74"/>
      <c r="DA151" s="74"/>
      <c r="DB151" s="74"/>
      <c r="DC151" s="74"/>
    </row>
    <row r="152" spans="14:107" customFormat="1" x14ac:dyDescent="0.35">
      <c r="O152" s="76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74"/>
      <c r="BM152" s="74"/>
      <c r="BN152" s="74"/>
      <c r="BO152" s="74"/>
      <c r="BP152" s="74"/>
      <c r="BQ152" s="74"/>
      <c r="BR152" s="74"/>
      <c r="BS152" s="74"/>
      <c r="BT152" s="74"/>
      <c r="BU152" s="74"/>
      <c r="BV152" s="74"/>
      <c r="BW152" s="74"/>
      <c r="BX152" s="74"/>
      <c r="BY152" s="74"/>
      <c r="BZ152" s="74"/>
      <c r="CA152" s="74"/>
      <c r="CB152" s="74"/>
      <c r="CC152" s="74"/>
      <c r="CD152" s="74"/>
      <c r="CE152" s="74"/>
      <c r="CF152" s="74"/>
      <c r="CG152" s="74"/>
      <c r="CH152" s="74"/>
      <c r="CI152" s="74"/>
      <c r="CJ152" s="74"/>
      <c r="CK152" s="74"/>
      <c r="CL152" s="74"/>
      <c r="CM152" s="74"/>
      <c r="CN152" s="74"/>
      <c r="CO152" s="74"/>
      <c r="CP152" s="74"/>
      <c r="CQ152" s="74"/>
      <c r="CR152" s="74"/>
      <c r="CS152" s="74"/>
      <c r="CT152" s="74"/>
      <c r="CU152" s="74"/>
      <c r="CV152" s="74"/>
      <c r="CW152" s="74"/>
      <c r="CX152" s="74"/>
      <c r="CY152" s="74"/>
      <c r="CZ152" s="74"/>
      <c r="DA152" s="74"/>
      <c r="DB152" s="74"/>
      <c r="DC152" s="74"/>
    </row>
    <row r="153" spans="14:107" customFormat="1" x14ac:dyDescent="0.35">
      <c r="O153" s="76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74"/>
      <c r="BM153" s="74"/>
      <c r="BN153" s="74"/>
      <c r="BO153" s="74"/>
      <c r="BP153" s="74"/>
      <c r="BQ153" s="74"/>
      <c r="BR153" s="74"/>
      <c r="BS153" s="74"/>
      <c r="BT153" s="74"/>
      <c r="BU153" s="74"/>
      <c r="BV153" s="74"/>
      <c r="BW153" s="74"/>
      <c r="BX153" s="74"/>
      <c r="BY153" s="74"/>
      <c r="BZ153" s="74"/>
      <c r="CA153" s="74"/>
      <c r="CB153" s="74"/>
      <c r="CC153" s="74"/>
      <c r="CD153" s="74"/>
      <c r="CE153" s="74"/>
      <c r="CF153" s="74"/>
      <c r="CG153" s="74"/>
      <c r="CH153" s="74"/>
      <c r="CI153" s="74"/>
      <c r="CJ153" s="74"/>
      <c r="CK153" s="74"/>
      <c r="CL153" s="74"/>
      <c r="CM153" s="74"/>
      <c r="CN153" s="74"/>
      <c r="CO153" s="74"/>
      <c r="CP153" s="74"/>
      <c r="CQ153" s="74"/>
      <c r="CR153" s="74"/>
      <c r="CS153" s="74"/>
      <c r="CT153" s="74"/>
      <c r="CU153" s="74"/>
      <c r="CV153" s="74"/>
      <c r="CW153" s="74"/>
      <c r="CX153" s="74"/>
      <c r="CY153" s="74"/>
      <c r="CZ153" s="74"/>
      <c r="DA153" s="74"/>
      <c r="DB153" s="74"/>
      <c r="DC153" s="74"/>
    </row>
    <row r="154" spans="14:107" customFormat="1" x14ac:dyDescent="0.35">
      <c r="O154" s="76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  <c r="BI154" s="74"/>
      <c r="BJ154" s="74"/>
      <c r="BK154" s="74"/>
      <c r="BL154" s="74"/>
      <c r="BM154" s="74"/>
      <c r="BN154" s="74"/>
      <c r="BO154" s="74"/>
      <c r="BP154" s="74"/>
      <c r="BQ154" s="74"/>
      <c r="BR154" s="74"/>
      <c r="BS154" s="74"/>
      <c r="BT154" s="74"/>
      <c r="BU154" s="74"/>
      <c r="BV154" s="74"/>
      <c r="BW154" s="74"/>
      <c r="BX154" s="74"/>
      <c r="BY154" s="74"/>
      <c r="BZ154" s="74"/>
      <c r="CA154" s="74"/>
      <c r="CB154" s="74"/>
      <c r="CC154" s="74"/>
      <c r="CD154" s="74"/>
      <c r="CE154" s="74"/>
      <c r="CF154" s="74"/>
      <c r="CG154" s="74"/>
      <c r="CH154" s="74"/>
      <c r="CI154" s="74"/>
      <c r="CJ154" s="74"/>
      <c r="CK154" s="74"/>
      <c r="CL154" s="74"/>
      <c r="CM154" s="74"/>
      <c r="CN154" s="74"/>
      <c r="CO154" s="74"/>
      <c r="CP154" s="74"/>
      <c r="CQ154" s="74"/>
      <c r="CR154" s="74"/>
      <c r="CS154" s="74"/>
      <c r="CT154" s="74"/>
      <c r="CU154" s="74"/>
      <c r="CV154" s="74"/>
      <c r="CW154" s="74"/>
      <c r="CX154" s="74"/>
      <c r="CY154" s="74"/>
      <c r="CZ154" s="74"/>
      <c r="DA154" s="74"/>
      <c r="DB154" s="74"/>
      <c r="DC154" s="74"/>
    </row>
    <row r="155" spans="14:107" customFormat="1" x14ac:dyDescent="0.35">
      <c r="O155" s="76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  <c r="BI155" s="74"/>
      <c r="BJ155" s="74"/>
      <c r="BK155" s="74"/>
      <c r="BL155" s="74"/>
      <c r="BM155" s="74"/>
      <c r="BN155" s="74"/>
      <c r="BO155" s="74"/>
      <c r="BP155" s="74"/>
      <c r="BQ155" s="74"/>
      <c r="BR155" s="74"/>
      <c r="BS155" s="74"/>
      <c r="BT155" s="74"/>
      <c r="BU155" s="74"/>
      <c r="BV155" s="74"/>
      <c r="BW155" s="74"/>
      <c r="BX155" s="74"/>
      <c r="BY155" s="74"/>
      <c r="BZ155" s="74"/>
      <c r="CA155" s="74"/>
      <c r="CB155" s="74"/>
      <c r="CC155" s="74"/>
      <c r="CD155" s="74"/>
      <c r="CE155" s="74"/>
      <c r="CF155" s="74"/>
      <c r="CG155" s="74"/>
      <c r="CH155" s="74"/>
      <c r="CI155" s="74"/>
      <c r="CJ155" s="74"/>
      <c r="CK155" s="74"/>
      <c r="CL155" s="74"/>
      <c r="CM155" s="74"/>
      <c r="CN155" s="74"/>
      <c r="CO155" s="74"/>
      <c r="CP155" s="74"/>
      <c r="CQ155" s="74"/>
      <c r="CR155" s="74"/>
      <c r="CS155" s="74"/>
      <c r="CT155" s="74"/>
      <c r="CU155" s="74"/>
      <c r="CV155" s="74"/>
      <c r="CW155" s="74"/>
      <c r="CX155" s="74"/>
      <c r="CY155" s="74"/>
      <c r="CZ155" s="74"/>
      <c r="DA155" s="74"/>
      <c r="DB155" s="74"/>
      <c r="DC155" s="74"/>
    </row>
    <row r="156" spans="14:107" customFormat="1" x14ac:dyDescent="0.35">
      <c r="O156" s="76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74"/>
      <c r="BJ156" s="74"/>
      <c r="BK156" s="74"/>
      <c r="BL156" s="74"/>
      <c r="BM156" s="74"/>
      <c r="BN156" s="74"/>
      <c r="BO156" s="74"/>
      <c r="BP156" s="74"/>
      <c r="BQ156" s="74"/>
      <c r="BR156" s="74"/>
      <c r="BS156" s="74"/>
      <c r="BT156" s="74"/>
      <c r="BU156" s="74"/>
      <c r="BV156" s="74"/>
      <c r="BW156" s="74"/>
      <c r="BX156" s="74"/>
      <c r="BY156" s="74"/>
      <c r="BZ156" s="74"/>
      <c r="CA156" s="74"/>
      <c r="CB156" s="74"/>
      <c r="CC156" s="74"/>
      <c r="CD156" s="74"/>
      <c r="CE156" s="74"/>
      <c r="CF156" s="74"/>
      <c r="CG156" s="74"/>
      <c r="CH156" s="74"/>
      <c r="CI156" s="74"/>
      <c r="CJ156" s="74"/>
      <c r="CK156" s="74"/>
      <c r="CL156" s="74"/>
      <c r="CM156" s="74"/>
      <c r="CN156" s="74"/>
      <c r="CO156" s="74"/>
      <c r="CP156" s="74"/>
      <c r="CQ156" s="74"/>
      <c r="CR156" s="74"/>
      <c r="CS156" s="74"/>
      <c r="CT156" s="74"/>
      <c r="CU156" s="74"/>
      <c r="CV156" s="74"/>
      <c r="CW156" s="74"/>
      <c r="CX156" s="74"/>
      <c r="CY156" s="74"/>
      <c r="CZ156" s="74"/>
      <c r="DA156" s="74"/>
      <c r="DB156" s="74"/>
      <c r="DC156" s="74"/>
    </row>
    <row r="157" spans="14:107" customFormat="1" x14ac:dyDescent="0.35">
      <c r="O157" s="76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74"/>
      <c r="BM157" s="74"/>
      <c r="BN157" s="74"/>
      <c r="BO157" s="74"/>
      <c r="BP157" s="74"/>
      <c r="BQ157" s="74"/>
      <c r="BR157" s="74"/>
      <c r="BS157" s="74"/>
      <c r="BT157" s="74"/>
      <c r="BU157" s="74"/>
      <c r="BV157" s="74"/>
      <c r="BW157" s="74"/>
      <c r="BX157" s="74"/>
      <c r="BY157" s="74"/>
      <c r="BZ157" s="74"/>
      <c r="CA157" s="74"/>
      <c r="CB157" s="74"/>
      <c r="CC157" s="74"/>
      <c r="CD157" s="74"/>
      <c r="CE157" s="74"/>
      <c r="CF157" s="74"/>
      <c r="CG157" s="74"/>
      <c r="CH157" s="74"/>
      <c r="CI157" s="74"/>
      <c r="CJ157" s="74"/>
      <c r="CK157" s="74"/>
      <c r="CL157" s="74"/>
      <c r="CM157" s="74"/>
      <c r="CN157" s="74"/>
      <c r="CO157" s="74"/>
      <c r="CP157" s="74"/>
      <c r="CQ157" s="74"/>
      <c r="CR157" s="74"/>
      <c r="CS157" s="74"/>
      <c r="CT157" s="74"/>
      <c r="CU157" s="74"/>
      <c r="CV157" s="74"/>
      <c r="CW157" s="74"/>
      <c r="CX157" s="74"/>
      <c r="CY157" s="74"/>
      <c r="CZ157" s="74"/>
      <c r="DA157" s="74"/>
      <c r="DB157" s="74"/>
      <c r="DC157" s="74"/>
    </row>
    <row r="158" spans="14:107" customFormat="1" x14ac:dyDescent="0.35">
      <c r="O158" s="76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4"/>
      <c r="BF158" s="74"/>
      <c r="BG158" s="74"/>
      <c r="BH158" s="74"/>
      <c r="BI158" s="74"/>
      <c r="BJ158" s="74"/>
      <c r="BK158" s="74"/>
      <c r="BL158" s="74"/>
      <c r="BM158" s="74"/>
      <c r="BN158" s="74"/>
      <c r="BO158" s="74"/>
      <c r="BP158" s="74"/>
      <c r="BQ158" s="74"/>
      <c r="BR158" s="74"/>
      <c r="BS158" s="74"/>
      <c r="BT158" s="74"/>
      <c r="BU158" s="74"/>
      <c r="BV158" s="74"/>
      <c r="BW158" s="74"/>
      <c r="BX158" s="74"/>
      <c r="BY158" s="74"/>
      <c r="BZ158" s="74"/>
      <c r="CA158" s="74"/>
      <c r="CB158" s="74"/>
      <c r="CC158" s="74"/>
      <c r="CD158" s="74"/>
      <c r="CE158" s="74"/>
      <c r="CF158" s="74"/>
      <c r="CG158" s="74"/>
      <c r="CH158" s="74"/>
      <c r="CI158" s="74"/>
      <c r="CJ158" s="74"/>
      <c r="CK158" s="74"/>
      <c r="CL158" s="74"/>
      <c r="CM158" s="74"/>
      <c r="CN158" s="74"/>
      <c r="CO158" s="74"/>
      <c r="CP158" s="74"/>
      <c r="CQ158" s="74"/>
      <c r="CR158" s="74"/>
      <c r="CS158" s="74"/>
      <c r="CT158" s="74"/>
      <c r="CU158" s="74"/>
      <c r="CV158" s="74"/>
      <c r="CW158" s="74"/>
      <c r="CX158" s="74"/>
      <c r="CY158" s="74"/>
      <c r="CZ158" s="74"/>
      <c r="DA158" s="74"/>
      <c r="DB158" s="74"/>
      <c r="DC158" s="74"/>
    </row>
    <row r="159" spans="14:107" customFormat="1" x14ac:dyDescent="0.35">
      <c r="O159" s="76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74"/>
      <c r="BM159" s="74"/>
      <c r="BN159" s="74"/>
      <c r="BO159" s="74"/>
      <c r="BP159" s="74"/>
      <c r="BQ159" s="74"/>
      <c r="BR159" s="74"/>
      <c r="BS159" s="74"/>
      <c r="BT159" s="74"/>
      <c r="BU159" s="74"/>
      <c r="BV159" s="74"/>
      <c r="BW159" s="74"/>
      <c r="BX159" s="74"/>
      <c r="BY159" s="74"/>
      <c r="BZ159" s="74"/>
      <c r="CA159" s="74"/>
      <c r="CB159" s="74"/>
      <c r="CC159" s="74"/>
      <c r="CD159" s="74"/>
      <c r="CE159" s="74"/>
      <c r="CF159" s="74"/>
      <c r="CG159" s="74"/>
      <c r="CH159" s="74"/>
      <c r="CI159" s="74"/>
      <c r="CJ159" s="74"/>
      <c r="CK159" s="74"/>
      <c r="CL159" s="74"/>
      <c r="CM159" s="74"/>
      <c r="CN159" s="74"/>
      <c r="CO159" s="74"/>
      <c r="CP159" s="74"/>
      <c r="CQ159" s="74"/>
      <c r="CR159" s="74"/>
      <c r="CS159" s="74"/>
      <c r="CT159" s="74"/>
      <c r="CU159" s="74"/>
      <c r="CV159" s="74"/>
      <c r="CW159" s="74"/>
      <c r="CX159" s="74"/>
      <c r="CY159" s="74"/>
      <c r="CZ159" s="74"/>
      <c r="DA159" s="74"/>
      <c r="DB159" s="74"/>
      <c r="DC159" s="74"/>
    </row>
    <row r="160" spans="14:107" customFormat="1" x14ac:dyDescent="0.35">
      <c r="O160" s="76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74"/>
      <c r="BM160" s="74"/>
      <c r="BN160" s="74"/>
      <c r="BO160" s="74"/>
      <c r="BP160" s="74"/>
      <c r="BQ160" s="74"/>
      <c r="BR160" s="74"/>
      <c r="BS160" s="74"/>
      <c r="BT160" s="74"/>
      <c r="BU160" s="74"/>
      <c r="BV160" s="74"/>
      <c r="BW160" s="74"/>
      <c r="BX160" s="74"/>
      <c r="BY160" s="74"/>
      <c r="BZ160" s="74"/>
      <c r="CA160" s="74"/>
      <c r="CB160" s="74"/>
      <c r="CC160" s="74"/>
      <c r="CD160" s="74"/>
      <c r="CE160" s="74"/>
      <c r="CF160" s="74"/>
      <c r="CG160" s="74"/>
      <c r="CH160" s="74"/>
      <c r="CI160" s="74"/>
      <c r="CJ160" s="74"/>
      <c r="CK160" s="74"/>
      <c r="CL160" s="74"/>
      <c r="CM160" s="74"/>
      <c r="CN160" s="74"/>
      <c r="CO160" s="74"/>
      <c r="CP160" s="74"/>
      <c r="CQ160" s="74"/>
      <c r="CR160" s="74"/>
      <c r="CS160" s="74"/>
      <c r="CT160" s="74"/>
      <c r="CU160" s="74"/>
      <c r="CV160" s="74"/>
      <c r="CW160" s="74"/>
      <c r="CX160" s="74"/>
      <c r="CY160" s="74"/>
      <c r="CZ160" s="74"/>
      <c r="DA160" s="74"/>
      <c r="DB160" s="74"/>
      <c r="DC160" s="74"/>
    </row>
    <row r="161" spans="15:107" customFormat="1" x14ac:dyDescent="0.35">
      <c r="O161" s="76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74"/>
      <c r="BM161" s="74"/>
      <c r="BN161" s="74"/>
      <c r="BO161" s="74"/>
      <c r="BP161" s="74"/>
      <c r="BQ161" s="74"/>
      <c r="BR161" s="74"/>
      <c r="BS161" s="74"/>
      <c r="BT161" s="74"/>
      <c r="BU161" s="74"/>
      <c r="BV161" s="74"/>
      <c r="BW161" s="74"/>
      <c r="BX161" s="74"/>
      <c r="BY161" s="74"/>
      <c r="BZ161" s="74"/>
      <c r="CA161" s="74"/>
      <c r="CB161" s="74"/>
      <c r="CC161" s="74"/>
      <c r="CD161" s="74"/>
      <c r="CE161" s="74"/>
      <c r="CF161" s="74"/>
      <c r="CG161" s="74"/>
      <c r="CH161" s="74"/>
      <c r="CI161" s="74"/>
      <c r="CJ161" s="74"/>
      <c r="CK161" s="74"/>
      <c r="CL161" s="74"/>
      <c r="CM161" s="74"/>
      <c r="CN161" s="74"/>
      <c r="CO161" s="74"/>
      <c r="CP161" s="74"/>
      <c r="CQ161" s="74"/>
      <c r="CR161" s="74"/>
      <c r="CS161" s="74"/>
      <c r="CT161" s="74"/>
      <c r="CU161" s="74"/>
      <c r="CV161" s="74"/>
      <c r="CW161" s="74"/>
      <c r="CX161" s="74"/>
      <c r="CY161" s="74"/>
      <c r="CZ161" s="74"/>
      <c r="DA161" s="74"/>
      <c r="DB161" s="74"/>
      <c r="DC161" s="74"/>
    </row>
    <row r="162" spans="15:107" customFormat="1" x14ac:dyDescent="0.35">
      <c r="O162" s="76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74"/>
      <c r="BM162" s="74"/>
      <c r="BN162" s="74"/>
      <c r="BO162" s="74"/>
      <c r="BP162" s="74"/>
      <c r="BQ162" s="74"/>
      <c r="BR162" s="74"/>
      <c r="BS162" s="74"/>
      <c r="BT162" s="74"/>
      <c r="BU162" s="74"/>
      <c r="BV162" s="74"/>
      <c r="BW162" s="74"/>
      <c r="BX162" s="74"/>
      <c r="BY162" s="74"/>
      <c r="BZ162" s="74"/>
      <c r="CA162" s="74"/>
      <c r="CB162" s="74"/>
      <c r="CC162" s="74"/>
      <c r="CD162" s="74"/>
      <c r="CE162" s="74"/>
      <c r="CF162" s="74"/>
      <c r="CG162" s="74"/>
      <c r="CH162" s="74"/>
      <c r="CI162" s="74"/>
      <c r="CJ162" s="74"/>
      <c r="CK162" s="74"/>
      <c r="CL162" s="74"/>
      <c r="CM162" s="74"/>
      <c r="CN162" s="74"/>
      <c r="CO162" s="74"/>
      <c r="CP162" s="74"/>
      <c r="CQ162" s="74"/>
      <c r="CR162" s="74"/>
      <c r="CS162" s="74"/>
      <c r="CT162" s="74"/>
      <c r="CU162" s="74"/>
      <c r="CV162" s="74"/>
      <c r="CW162" s="74"/>
      <c r="CX162" s="74"/>
      <c r="CY162" s="74"/>
      <c r="CZ162" s="74"/>
      <c r="DA162" s="74"/>
      <c r="DB162" s="74"/>
      <c r="DC162" s="74"/>
    </row>
    <row r="163" spans="15:107" customFormat="1" x14ac:dyDescent="0.35">
      <c r="O163" s="76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74"/>
      <c r="BM163" s="74"/>
      <c r="BN163" s="74"/>
      <c r="BO163" s="74"/>
      <c r="BP163" s="74"/>
      <c r="BQ163" s="74"/>
      <c r="BR163" s="74"/>
      <c r="BS163" s="74"/>
      <c r="BT163" s="74"/>
      <c r="BU163" s="74"/>
      <c r="BV163" s="74"/>
      <c r="BW163" s="74"/>
      <c r="BX163" s="74"/>
      <c r="BY163" s="74"/>
      <c r="BZ163" s="74"/>
      <c r="CA163" s="74"/>
      <c r="CB163" s="74"/>
      <c r="CC163" s="74"/>
      <c r="CD163" s="74"/>
      <c r="CE163" s="74"/>
      <c r="CF163" s="74"/>
      <c r="CG163" s="74"/>
      <c r="CH163" s="74"/>
      <c r="CI163" s="74"/>
      <c r="CJ163" s="74"/>
      <c r="CK163" s="74"/>
      <c r="CL163" s="74"/>
      <c r="CM163" s="74"/>
      <c r="CN163" s="74"/>
      <c r="CO163" s="74"/>
      <c r="CP163" s="74"/>
      <c r="CQ163" s="74"/>
      <c r="CR163" s="74"/>
      <c r="CS163" s="74"/>
      <c r="CT163" s="74"/>
      <c r="CU163" s="74"/>
      <c r="CV163" s="74"/>
      <c r="CW163" s="74"/>
      <c r="CX163" s="74"/>
      <c r="CY163" s="74"/>
      <c r="CZ163" s="74"/>
      <c r="DA163" s="74"/>
      <c r="DB163" s="74"/>
      <c r="DC163" s="74"/>
    </row>
    <row r="164" spans="15:107" customFormat="1" x14ac:dyDescent="0.35">
      <c r="O164" s="76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74"/>
      <c r="BM164" s="74"/>
      <c r="BN164" s="74"/>
      <c r="BO164" s="74"/>
      <c r="BP164" s="74"/>
      <c r="BQ164" s="74"/>
      <c r="BR164" s="74"/>
      <c r="BS164" s="74"/>
      <c r="BT164" s="74"/>
      <c r="BU164" s="74"/>
      <c r="BV164" s="74"/>
      <c r="BW164" s="74"/>
      <c r="BX164" s="74"/>
      <c r="BY164" s="74"/>
      <c r="BZ164" s="74"/>
      <c r="CA164" s="74"/>
      <c r="CB164" s="74"/>
      <c r="CC164" s="74"/>
      <c r="CD164" s="74"/>
      <c r="CE164" s="74"/>
      <c r="CF164" s="74"/>
      <c r="CG164" s="74"/>
      <c r="CH164" s="74"/>
      <c r="CI164" s="74"/>
      <c r="CJ164" s="74"/>
      <c r="CK164" s="74"/>
      <c r="CL164" s="74"/>
      <c r="CM164" s="74"/>
      <c r="CN164" s="74"/>
      <c r="CO164" s="74"/>
      <c r="CP164" s="74"/>
      <c r="CQ164" s="74"/>
      <c r="CR164" s="74"/>
      <c r="CS164" s="74"/>
      <c r="CT164" s="74"/>
      <c r="CU164" s="74"/>
      <c r="CV164" s="74"/>
      <c r="CW164" s="74"/>
      <c r="CX164" s="74"/>
      <c r="CY164" s="74"/>
      <c r="CZ164" s="74"/>
      <c r="DA164" s="74"/>
      <c r="DB164" s="74"/>
      <c r="DC164" s="74"/>
    </row>
    <row r="165" spans="15:107" customFormat="1" x14ac:dyDescent="0.35">
      <c r="O165" s="76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  <c r="BA165" s="74"/>
      <c r="BB165" s="74"/>
      <c r="BC165" s="74"/>
      <c r="BD165" s="74"/>
      <c r="BE165" s="74"/>
      <c r="BF165" s="74"/>
      <c r="BG165" s="74"/>
      <c r="BH165" s="74"/>
      <c r="BI165" s="74"/>
      <c r="BJ165" s="74"/>
      <c r="BK165" s="74"/>
      <c r="BL165" s="74"/>
      <c r="BM165" s="74"/>
      <c r="BN165" s="74"/>
      <c r="BO165" s="74"/>
      <c r="BP165" s="74"/>
      <c r="BQ165" s="74"/>
      <c r="BR165" s="74"/>
      <c r="BS165" s="74"/>
      <c r="BT165" s="74"/>
      <c r="BU165" s="74"/>
      <c r="BV165" s="74"/>
      <c r="BW165" s="74"/>
      <c r="BX165" s="74"/>
      <c r="BY165" s="74"/>
      <c r="BZ165" s="74"/>
      <c r="CA165" s="74"/>
      <c r="CB165" s="74"/>
      <c r="CC165" s="74"/>
      <c r="CD165" s="74"/>
      <c r="CE165" s="74"/>
      <c r="CF165" s="74"/>
      <c r="CG165" s="74"/>
      <c r="CH165" s="74"/>
      <c r="CI165" s="74"/>
      <c r="CJ165" s="74"/>
      <c r="CK165" s="74"/>
      <c r="CL165" s="74"/>
      <c r="CM165" s="74"/>
      <c r="CN165" s="74"/>
      <c r="CO165" s="74"/>
      <c r="CP165" s="74"/>
      <c r="CQ165" s="74"/>
      <c r="CR165" s="74"/>
      <c r="CS165" s="74"/>
      <c r="CT165" s="74"/>
      <c r="CU165" s="74"/>
      <c r="CV165" s="74"/>
      <c r="CW165" s="74"/>
      <c r="CX165" s="74"/>
      <c r="CY165" s="74"/>
      <c r="CZ165" s="74"/>
      <c r="DA165" s="74"/>
      <c r="DB165" s="74"/>
      <c r="DC165" s="74"/>
    </row>
    <row r="166" spans="15:107" customFormat="1" x14ac:dyDescent="0.35">
      <c r="O166" s="76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74"/>
      <c r="BJ166" s="74"/>
      <c r="BK166" s="74"/>
      <c r="BL166" s="74"/>
      <c r="BM166" s="74"/>
      <c r="BN166" s="74"/>
      <c r="BO166" s="74"/>
      <c r="BP166" s="74"/>
      <c r="BQ166" s="74"/>
      <c r="BR166" s="74"/>
      <c r="BS166" s="74"/>
      <c r="BT166" s="74"/>
      <c r="BU166" s="74"/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/>
      <c r="CP166" s="74"/>
      <c r="CQ166" s="74"/>
      <c r="CR166" s="74"/>
      <c r="CS166" s="74"/>
      <c r="CT166" s="74"/>
      <c r="CU166" s="74"/>
      <c r="CV166" s="74"/>
      <c r="CW166" s="74"/>
      <c r="CX166" s="74"/>
      <c r="CY166" s="74"/>
      <c r="CZ166" s="74"/>
      <c r="DA166" s="74"/>
      <c r="DB166" s="74"/>
      <c r="DC166" s="74"/>
    </row>
    <row r="167" spans="15:107" customFormat="1" x14ac:dyDescent="0.35">
      <c r="O167" s="76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74"/>
      <c r="BJ167" s="74"/>
      <c r="BK167" s="74"/>
      <c r="BL167" s="74"/>
      <c r="BM167" s="74"/>
      <c r="BN167" s="74"/>
      <c r="BO167" s="74"/>
      <c r="BP167" s="74"/>
      <c r="BQ167" s="74"/>
      <c r="BR167" s="74"/>
      <c r="BS167" s="74"/>
      <c r="BT167" s="74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74"/>
      <c r="CU167" s="74"/>
      <c r="CV167" s="74"/>
      <c r="CW167" s="74"/>
      <c r="CX167" s="74"/>
      <c r="CY167" s="74"/>
      <c r="CZ167" s="74"/>
      <c r="DA167" s="74"/>
      <c r="DB167" s="74"/>
      <c r="DC167" s="74"/>
    </row>
    <row r="168" spans="15:107" customFormat="1" x14ac:dyDescent="0.35">
      <c r="O168" s="76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74"/>
      <c r="BM168" s="74"/>
      <c r="BN168" s="74"/>
      <c r="BO168" s="74"/>
      <c r="BP168" s="74"/>
      <c r="BQ168" s="74"/>
      <c r="BR168" s="74"/>
      <c r="BS168" s="74"/>
      <c r="BT168" s="74"/>
      <c r="BU168" s="74"/>
      <c r="BV168" s="74"/>
      <c r="BW168" s="74"/>
      <c r="BX168" s="74"/>
      <c r="BY168" s="74"/>
      <c r="BZ168" s="74"/>
      <c r="CA168" s="74"/>
      <c r="CB168" s="74"/>
      <c r="CC168" s="74"/>
      <c r="CD168" s="74"/>
      <c r="CE168" s="74"/>
      <c r="CF168" s="74"/>
      <c r="CG168" s="74"/>
      <c r="CH168" s="74"/>
      <c r="CI168" s="74"/>
      <c r="CJ168" s="74"/>
      <c r="CK168" s="74"/>
      <c r="CL168" s="74"/>
      <c r="CM168" s="74"/>
      <c r="CN168" s="74"/>
      <c r="CO168" s="74"/>
      <c r="CP168" s="74"/>
      <c r="CQ168" s="74"/>
      <c r="CR168" s="74"/>
      <c r="CS168" s="74"/>
      <c r="CT168" s="74"/>
      <c r="CU168" s="74"/>
      <c r="CV168" s="74"/>
      <c r="CW168" s="74"/>
      <c r="CX168" s="74"/>
      <c r="CY168" s="74"/>
      <c r="CZ168" s="74"/>
      <c r="DA168" s="74"/>
      <c r="DB168" s="74"/>
      <c r="DC168" s="74"/>
    </row>
    <row r="169" spans="15:107" customFormat="1" x14ac:dyDescent="0.35">
      <c r="O169" s="76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74"/>
      <c r="BM169" s="74"/>
      <c r="BN169" s="74"/>
      <c r="BO169" s="74"/>
      <c r="BP169" s="74"/>
      <c r="BQ169" s="74"/>
      <c r="BR169" s="74"/>
      <c r="BS169" s="74"/>
      <c r="BT169" s="74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74"/>
      <c r="CU169" s="74"/>
      <c r="CV169" s="74"/>
      <c r="CW169" s="74"/>
      <c r="CX169" s="74"/>
      <c r="CY169" s="74"/>
      <c r="CZ169" s="74"/>
      <c r="DA169" s="74"/>
      <c r="DB169" s="74"/>
      <c r="DC169" s="74"/>
    </row>
    <row r="170" spans="15:107" customFormat="1" x14ac:dyDescent="0.35">
      <c r="O170" s="76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74"/>
      <c r="CU170" s="74"/>
      <c r="CV170" s="74"/>
      <c r="CW170" s="74"/>
      <c r="CX170" s="74"/>
      <c r="CY170" s="74"/>
      <c r="CZ170" s="74"/>
      <c r="DA170" s="74"/>
      <c r="DB170" s="74"/>
      <c r="DC170" s="74"/>
    </row>
    <row r="171" spans="15:107" customFormat="1" x14ac:dyDescent="0.35">
      <c r="O171" s="76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74"/>
      <c r="CU171" s="74"/>
      <c r="CV171" s="74"/>
      <c r="CW171" s="74"/>
      <c r="CX171" s="74"/>
      <c r="CY171" s="74"/>
      <c r="CZ171" s="74"/>
      <c r="DA171" s="74"/>
      <c r="DB171" s="74"/>
      <c r="DC171" s="74"/>
    </row>
    <row r="172" spans="15:107" customFormat="1" x14ac:dyDescent="0.35">
      <c r="O172" s="76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74"/>
      <c r="CU172" s="74"/>
      <c r="CV172" s="74"/>
      <c r="CW172" s="74"/>
      <c r="CX172" s="74"/>
      <c r="CY172" s="74"/>
      <c r="CZ172" s="74"/>
      <c r="DA172" s="74"/>
      <c r="DB172" s="74"/>
      <c r="DC172" s="74"/>
    </row>
    <row r="173" spans="15:107" customFormat="1" x14ac:dyDescent="0.35">
      <c r="O173" s="76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74"/>
      <c r="CU173" s="74"/>
      <c r="CV173" s="74"/>
      <c r="CW173" s="74"/>
      <c r="CX173" s="74"/>
      <c r="CY173" s="74"/>
      <c r="CZ173" s="74"/>
      <c r="DA173" s="74"/>
      <c r="DB173" s="74"/>
      <c r="DC173" s="74"/>
    </row>
    <row r="174" spans="15:107" customFormat="1" x14ac:dyDescent="0.35">
      <c r="O174" s="76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74"/>
      <c r="CU174" s="74"/>
      <c r="CV174" s="74"/>
      <c r="CW174" s="74"/>
      <c r="CX174" s="74"/>
      <c r="CY174" s="74"/>
      <c r="CZ174" s="74"/>
      <c r="DA174" s="74"/>
      <c r="DB174" s="74"/>
      <c r="DC174" s="74"/>
    </row>
    <row r="175" spans="15:107" customFormat="1" x14ac:dyDescent="0.35">
      <c r="O175" s="76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74"/>
      <c r="CU175" s="74"/>
      <c r="CV175" s="74"/>
      <c r="CW175" s="74"/>
      <c r="CX175" s="74"/>
      <c r="CY175" s="74"/>
      <c r="CZ175" s="74"/>
      <c r="DA175" s="74"/>
      <c r="DB175" s="74"/>
      <c r="DC175" s="74"/>
    </row>
    <row r="176" spans="15:107" customFormat="1" x14ac:dyDescent="0.35">
      <c r="O176" s="76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74"/>
      <c r="CU176" s="74"/>
      <c r="CV176" s="74"/>
      <c r="CW176" s="74"/>
      <c r="CX176" s="74"/>
      <c r="CY176" s="74"/>
      <c r="CZ176" s="74"/>
      <c r="DA176" s="74"/>
      <c r="DB176" s="74"/>
      <c r="DC176" s="74"/>
    </row>
    <row r="177" spans="15:107" customFormat="1" x14ac:dyDescent="0.35">
      <c r="O177" s="76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74"/>
      <c r="CU177" s="74"/>
      <c r="CV177" s="74"/>
      <c r="CW177" s="74"/>
      <c r="CX177" s="74"/>
      <c r="CY177" s="74"/>
      <c r="CZ177" s="74"/>
      <c r="DA177" s="74"/>
      <c r="DB177" s="74"/>
      <c r="DC177" s="74"/>
    </row>
    <row r="178" spans="15:107" customFormat="1" x14ac:dyDescent="0.35">
      <c r="O178" s="76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74"/>
      <c r="CU178" s="74"/>
      <c r="CV178" s="74"/>
      <c r="CW178" s="74"/>
      <c r="CX178" s="74"/>
      <c r="CY178" s="74"/>
      <c r="CZ178" s="74"/>
      <c r="DA178" s="74"/>
      <c r="DB178" s="74"/>
      <c r="DC178" s="74"/>
    </row>
    <row r="179" spans="15:107" customFormat="1" x14ac:dyDescent="0.35">
      <c r="O179" s="76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74"/>
      <c r="CU179" s="74"/>
      <c r="CV179" s="74"/>
      <c r="CW179" s="74"/>
      <c r="CX179" s="74"/>
      <c r="CY179" s="74"/>
      <c r="CZ179" s="74"/>
      <c r="DA179" s="74"/>
      <c r="DB179" s="74"/>
      <c r="DC179" s="74"/>
    </row>
    <row r="180" spans="15:107" customFormat="1" x14ac:dyDescent="0.35">
      <c r="O180" s="76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74"/>
      <c r="BM180" s="74"/>
      <c r="BN180" s="74"/>
      <c r="BO180" s="74"/>
      <c r="BP180" s="74"/>
      <c r="BQ180" s="74"/>
      <c r="BR180" s="74"/>
      <c r="BS180" s="74"/>
      <c r="BT180" s="74"/>
      <c r="BU180" s="74"/>
      <c r="BV180" s="74"/>
      <c r="BW180" s="74"/>
      <c r="BX180" s="74"/>
      <c r="BY180" s="74"/>
      <c r="BZ180" s="74"/>
      <c r="CA180" s="74"/>
      <c r="CB180" s="74"/>
      <c r="CC180" s="74"/>
      <c r="CD180" s="74"/>
      <c r="CE180" s="74"/>
      <c r="CF180" s="74"/>
      <c r="CG180" s="74"/>
      <c r="CH180" s="74"/>
      <c r="CI180" s="74"/>
      <c r="CJ180" s="74"/>
      <c r="CK180" s="74"/>
      <c r="CL180" s="74"/>
      <c r="CM180" s="74"/>
      <c r="CN180" s="74"/>
      <c r="CO180" s="74"/>
      <c r="CP180" s="74"/>
      <c r="CQ180" s="74"/>
      <c r="CR180" s="74"/>
      <c r="CS180" s="74"/>
      <c r="CT180" s="74"/>
      <c r="CU180" s="74"/>
      <c r="CV180" s="74"/>
      <c r="CW180" s="74"/>
      <c r="CX180" s="74"/>
      <c r="CY180" s="74"/>
      <c r="CZ180" s="74"/>
      <c r="DA180" s="74"/>
      <c r="DB180" s="74"/>
      <c r="DC180" s="74"/>
    </row>
    <row r="181" spans="15:107" customFormat="1" x14ac:dyDescent="0.35">
      <c r="O181" s="76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74"/>
      <c r="BM181" s="74"/>
      <c r="BN181" s="74"/>
      <c r="BO181" s="74"/>
      <c r="BP181" s="74"/>
      <c r="BQ181" s="74"/>
      <c r="BR181" s="74"/>
      <c r="BS181" s="74"/>
      <c r="BT181" s="74"/>
      <c r="BU181" s="74"/>
      <c r="BV181" s="74"/>
      <c r="BW181" s="74"/>
      <c r="BX181" s="74"/>
      <c r="BY181" s="74"/>
      <c r="BZ181" s="74"/>
      <c r="CA181" s="74"/>
      <c r="CB181" s="74"/>
      <c r="CC181" s="74"/>
      <c r="CD181" s="74"/>
      <c r="CE181" s="74"/>
      <c r="CF181" s="74"/>
      <c r="CG181" s="74"/>
      <c r="CH181" s="74"/>
      <c r="CI181" s="74"/>
      <c r="CJ181" s="74"/>
      <c r="CK181" s="74"/>
      <c r="CL181" s="74"/>
      <c r="CM181" s="74"/>
      <c r="CN181" s="74"/>
      <c r="CO181" s="74"/>
      <c r="CP181" s="74"/>
      <c r="CQ181" s="74"/>
      <c r="CR181" s="74"/>
      <c r="CS181" s="74"/>
      <c r="CT181" s="74"/>
      <c r="CU181" s="74"/>
      <c r="CV181" s="74"/>
      <c r="CW181" s="74"/>
      <c r="CX181" s="74"/>
      <c r="CY181" s="74"/>
      <c r="CZ181" s="74"/>
      <c r="DA181" s="74"/>
      <c r="DB181" s="74"/>
      <c r="DC181" s="74"/>
    </row>
    <row r="182" spans="15:107" customFormat="1" x14ac:dyDescent="0.35">
      <c r="O182" s="76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74"/>
      <c r="BM182" s="74"/>
      <c r="BN182" s="74"/>
      <c r="BO182" s="74"/>
      <c r="BP182" s="74"/>
      <c r="BQ182" s="74"/>
      <c r="BR182" s="74"/>
      <c r="BS182" s="74"/>
      <c r="BT182" s="74"/>
      <c r="BU182" s="74"/>
      <c r="BV182" s="74"/>
      <c r="BW182" s="74"/>
      <c r="BX182" s="74"/>
      <c r="BY182" s="74"/>
      <c r="BZ182" s="74"/>
      <c r="CA182" s="74"/>
      <c r="CB182" s="74"/>
      <c r="CC182" s="74"/>
      <c r="CD182" s="74"/>
      <c r="CE182" s="74"/>
      <c r="CF182" s="74"/>
      <c r="CG182" s="74"/>
      <c r="CH182" s="74"/>
      <c r="CI182" s="74"/>
      <c r="CJ182" s="74"/>
      <c r="CK182" s="74"/>
      <c r="CL182" s="74"/>
      <c r="CM182" s="74"/>
      <c r="CN182" s="74"/>
      <c r="CO182" s="74"/>
      <c r="CP182" s="74"/>
      <c r="CQ182" s="74"/>
      <c r="CR182" s="74"/>
      <c r="CS182" s="74"/>
      <c r="CT182" s="74"/>
      <c r="CU182" s="74"/>
      <c r="CV182" s="74"/>
      <c r="CW182" s="74"/>
      <c r="CX182" s="74"/>
      <c r="CY182" s="74"/>
      <c r="CZ182" s="74"/>
      <c r="DA182" s="74"/>
      <c r="DB182" s="74"/>
      <c r="DC182" s="74"/>
    </row>
    <row r="183" spans="15:107" customFormat="1" x14ac:dyDescent="0.35">
      <c r="O183" s="76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  <c r="AZ183" s="74"/>
      <c r="BA183" s="74"/>
      <c r="BB183" s="74"/>
      <c r="BC183" s="74"/>
      <c r="BD183" s="74"/>
      <c r="BE183" s="74"/>
      <c r="BF183" s="74"/>
      <c r="BG183" s="74"/>
      <c r="BH183" s="74"/>
      <c r="BI183" s="74"/>
      <c r="BJ183" s="74"/>
      <c r="BK183" s="74"/>
      <c r="BL183" s="74"/>
      <c r="BM183" s="74"/>
      <c r="BN183" s="74"/>
      <c r="BO183" s="74"/>
      <c r="BP183" s="74"/>
      <c r="BQ183" s="74"/>
      <c r="BR183" s="74"/>
      <c r="BS183" s="74"/>
      <c r="BT183" s="74"/>
      <c r="BU183" s="74"/>
      <c r="BV183" s="74"/>
      <c r="BW183" s="74"/>
      <c r="BX183" s="74"/>
      <c r="BY183" s="74"/>
      <c r="BZ183" s="74"/>
      <c r="CA183" s="74"/>
      <c r="CB183" s="74"/>
      <c r="CC183" s="74"/>
      <c r="CD183" s="74"/>
      <c r="CE183" s="74"/>
      <c r="CF183" s="74"/>
      <c r="CG183" s="74"/>
      <c r="CH183" s="74"/>
      <c r="CI183" s="74"/>
      <c r="CJ183" s="74"/>
      <c r="CK183" s="74"/>
      <c r="CL183" s="74"/>
      <c r="CM183" s="74"/>
      <c r="CN183" s="74"/>
      <c r="CO183" s="74"/>
      <c r="CP183" s="74"/>
      <c r="CQ183" s="74"/>
      <c r="CR183" s="74"/>
      <c r="CS183" s="74"/>
      <c r="CT183" s="74"/>
      <c r="CU183" s="74"/>
      <c r="CV183" s="74"/>
      <c r="CW183" s="74"/>
      <c r="CX183" s="74"/>
      <c r="CY183" s="74"/>
      <c r="CZ183" s="74"/>
      <c r="DA183" s="74"/>
      <c r="DB183" s="74"/>
      <c r="DC183" s="74"/>
    </row>
    <row r="184" spans="15:107" customFormat="1" x14ac:dyDescent="0.35">
      <c r="O184" s="76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74"/>
      <c r="BM184" s="74"/>
      <c r="BN184" s="74"/>
      <c r="BO184" s="74"/>
      <c r="BP184" s="74"/>
      <c r="BQ184" s="74"/>
      <c r="BR184" s="74"/>
      <c r="BS184" s="74"/>
      <c r="BT184" s="74"/>
      <c r="BU184" s="74"/>
      <c r="BV184" s="74"/>
      <c r="BW184" s="74"/>
      <c r="BX184" s="74"/>
      <c r="BY184" s="74"/>
      <c r="BZ184" s="74"/>
      <c r="CA184" s="74"/>
      <c r="CB184" s="74"/>
      <c r="CC184" s="74"/>
      <c r="CD184" s="74"/>
      <c r="CE184" s="74"/>
      <c r="CF184" s="74"/>
      <c r="CG184" s="74"/>
      <c r="CH184" s="74"/>
      <c r="CI184" s="74"/>
      <c r="CJ184" s="74"/>
      <c r="CK184" s="74"/>
      <c r="CL184" s="74"/>
      <c r="CM184" s="74"/>
      <c r="CN184" s="74"/>
      <c r="CO184" s="74"/>
      <c r="CP184" s="74"/>
      <c r="CQ184" s="74"/>
      <c r="CR184" s="74"/>
      <c r="CS184" s="74"/>
      <c r="CT184" s="74"/>
      <c r="CU184" s="74"/>
      <c r="CV184" s="74"/>
      <c r="CW184" s="74"/>
      <c r="CX184" s="74"/>
      <c r="CY184" s="74"/>
      <c r="CZ184" s="74"/>
      <c r="DA184" s="74"/>
      <c r="DB184" s="74"/>
      <c r="DC184" s="74"/>
    </row>
    <row r="185" spans="15:107" customFormat="1" x14ac:dyDescent="0.35">
      <c r="O185" s="76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74"/>
      <c r="BM185" s="74"/>
      <c r="BN185" s="74"/>
      <c r="BO185" s="74"/>
      <c r="BP185" s="74"/>
      <c r="BQ185" s="74"/>
      <c r="BR185" s="74"/>
      <c r="BS185" s="74"/>
      <c r="BT185" s="74"/>
      <c r="BU185" s="74"/>
      <c r="BV185" s="74"/>
      <c r="BW185" s="74"/>
      <c r="BX185" s="74"/>
      <c r="BY185" s="74"/>
      <c r="BZ185" s="74"/>
      <c r="CA185" s="74"/>
      <c r="CB185" s="74"/>
      <c r="CC185" s="74"/>
      <c r="CD185" s="74"/>
      <c r="CE185" s="74"/>
      <c r="CF185" s="74"/>
      <c r="CG185" s="74"/>
      <c r="CH185" s="74"/>
      <c r="CI185" s="74"/>
      <c r="CJ185" s="74"/>
      <c r="CK185" s="74"/>
      <c r="CL185" s="74"/>
      <c r="CM185" s="74"/>
      <c r="CN185" s="74"/>
      <c r="CO185" s="74"/>
      <c r="CP185" s="74"/>
      <c r="CQ185" s="74"/>
      <c r="CR185" s="74"/>
      <c r="CS185" s="74"/>
      <c r="CT185" s="74"/>
      <c r="CU185" s="74"/>
      <c r="CV185" s="74"/>
      <c r="CW185" s="74"/>
      <c r="CX185" s="74"/>
      <c r="CY185" s="74"/>
      <c r="CZ185" s="74"/>
      <c r="DA185" s="74"/>
      <c r="DB185" s="74"/>
      <c r="DC185" s="74"/>
    </row>
    <row r="186" spans="15:107" customFormat="1" x14ac:dyDescent="0.35">
      <c r="O186" s="76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74"/>
      <c r="BM186" s="74"/>
      <c r="BN186" s="74"/>
      <c r="BO186" s="74"/>
      <c r="BP186" s="74"/>
      <c r="BQ186" s="74"/>
      <c r="BR186" s="74"/>
      <c r="BS186" s="74"/>
      <c r="BT186" s="74"/>
      <c r="BU186" s="74"/>
      <c r="BV186" s="74"/>
      <c r="BW186" s="74"/>
      <c r="BX186" s="74"/>
      <c r="BY186" s="74"/>
      <c r="BZ186" s="74"/>
      <c r="CA186" s="74"/>
      <c r="CB186" s="74"/>
      <c r="CC186" s="74"/>
      <c r="CD186" s="74"/>
      <c r="CE186" s="74"/>
      <c r="CF186" s="74"/>
      <c r="CG186" s="74"/>
      <c r="CH186" s="74"/>
      <c r="CI186" s="74"/>
      <c r="CJ186" s="74"/>
      <c r="CK186" s="74"/>
      <c r="CL186" s="74"/>
      <c r="CM186" s="74"/>
      <c r="CN186" s="74"/>
      <c r="CO186" s="74"/>
      <c r="CP186" s="74"/>
      <c r="CQ186" s="74"/>
      <c r="CR186" s="74"/>
      <c r="CS186" s="74"/>
      <c r="CT186" s="74"/>
      <c r="CU186" s="74"/>
      <c r="CV186" s="74"/>
      <c r="CW186" s="74"/>
      <c r="CX186" s="74"/>
      <c r="CY186" s="74"/>
      <c r="CZ186" s="74"/>
      <c r="DA186" s="74"/>
      <c r="DB186" s="74"/>
      <c r="DC186" s="74"/>
    </row>
    <row r="187" spans="15:107" customFormat="1" x14ac:dyDescent="0.35">
      <c r="O187" s="76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  <c r="BD187" s="74"/>
      <c r="BE187" s="74"/>
      <c r="BF187" s="74"/>
      <c r="BG187" s="74"/>
      <c r="BH187" s="74"/>
      <c r="BI187" s="74"/>
      <c r="BJ187" s="74"/>
      <c r="BK187" s="74"/>
      <c r="BL187" s="74"/>
      <c r="BM187" s="74"/>
      <c r="BN187" s="74"/>
      <c r="BO187" s="74"/>
      <c r="BP187" s="74"/>
      <c r="BQ187" s="74"/>
      <c r="BR187" s="74"/>
      <c r="BS187" s="74"/>
      <c r="BT187" s="74"/>
      <c r="BU187" s="74"/>
      <c r="BV187" s="74"/>
      <c r="BW187" s="74"/>
      <c r="BX187" s="74"/>
      <c r="BY187" s="74"/>
      <c r="BZ187" s="74"/>
      <c r="CA187" s="74"/>
      <c r="CB187" s="74"/>
      <c r="CC187" s="74"/>
      <c r="CD187" s="74"/>
      <c r="CE187" s="74"/>
      <c r="CF187" s="74"/>
      <c r="CG187" s="74"/>
      <c r="CH187" s="74"/>
      <c r="CI187" s="74"/>
      <c r="CJ187" s="74"/>
      <c r="CK187" s="74"/>
      <c r="CL187" s="74"/>
      <c r="CM187" s="74"/>
      <c r="CN187" s="74"/>
      <c r="CO187" s="74"/>
      <c r="CP187" s="74"/>
      <c r="CQ187" s="74"/>
      <c r="CR187" s="74"/>
      <c r="CS187" s="74"/>
      <c r="CT187" s="74"/>
      <c r="CU187" s="74"/>
      <c r="CV187" s="74"/>
      <c r="CW187" s="74"/>
      <c r="CX187" s="74"/>
      <c r="CY187" s="74"/>
      <c r="CZ187" s="74"/>
      <c r="DA187" s="74"/>
      <c r="DB187" s="74"/>
      <c r="DC187" s="74"/>
    </row>
    <row r="188" spans="15:107" customFormat="1" x14ac:dyDescent="0.35">
      <c r="O188" s="76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4"/>
      <c r="BK188" s="74"/>
      <c r="BL188" s="74"/>
      <c r="BM188" s="74"/>
      <c r="BN188" s="74"/>
      <c r="BO188" s="74"/>
      <c r="BP188" s="74"/>
      <c r="BQ188" s="74"/>
      <c r="BR188" s="74"/>
      <c r="BS188" s="74"/>
      <c r="BT188" s="74"/>
      <c r="BU188" s="74"/>
      <c r="BV188" s="74"/>
      <c r="BW188" s="74"/>
      <c r="BX188" s="74"/>
      <c r="BY188" s="74"/>
      <c r="BZ188" s="74"/>
      <c r="CA188" s="74"/>
      <c r="CB188" s="74"/>
      <c r="CC188" s="74"/>
      <c r="CD188" s="74"/>
      <c r="CE188" s="74"/>
      <c r="CF188" s="74"/>
      <c r="CG188" s="74"/>
      <c r="CH188" s="74"/>
      <c r="CI188" s="74"/>
      <c r="CJ188" s="74"/>
      <c r="CK188" s="74"/>
      <c r="CL188" s="74"/>
      <c r="CM188" s="74"/>
      <c r="CN188" s="74"/>
      <c r="CO188" s="74"/>
      <c r="CP188" s="74"/>
      <c r="CQ188" s="74"/>
      <c r="CR188" s="74"/>
      <c r="CS188" s="74"/>
      <c r="CT188" s="74"/>
      <c r="CU188" s="74"/>
      <c r="CV188" s="74"/>
      <c r="CW188" s="74"/>
      <c r="CX188" s="74"/>
      <c r="CY188" s="74"/>
      <c r="CZ188" s="74"/>
      <c r="DA188" s="74"/>
      <c r="DB188" s="74"/>
      <c r="DC188" s="74"/>
    </row>
    <row r="189" spans="15:107" customFormat="1" x14ac:dyDescent="0.35">
      <c r="O189" s="76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  <c r="AZ189" s="74"/>
      <c r="BA189" s="74"/>
      <c r="BB189" s="74"/>
      <c r="BC189" s="74"/>
      <c r="BD189" s="74"/>
      <c r="BE189" s="74"/>
      <c r="BF189" s="74"/>
      <c r="BG189" s="74"/>
      <c r="BH189" s="74"/>
      <c r="BI189" s="74"/>
      <c r="BJ189" s="74"/>
      <c r="BK189" s="74"/>
      <c r="BL189" s="74"/>
      <c r="BM189" s="74"/>
      <c r="BN189" s="74"/>
      <c r="BO189" s="74"/>
      <c r="BP189" s="74"/>
      <c r="BQ189" s="74"/>
      <c r="BR189" s="74"/>
      <c r="BS189" s="74"/>
      <c r="BT189" s="74"/>
      <c r="BU189" s="74"/>
      <c r="BV189" s="74"/>
      <c r="BW189" s="74"/>
      <c r="BX189" s="74"/>
      <c r="BY189" s="74"/>
      <c r="BZ189" s="74"/>
      <c r="CA189" s="74"/>
      <c r="CB189" s="74"/>
      <c r="CC189" s="74"/>
      <c r="CD189" s="74"/>
      <c r="CE189" s="74"/>
      <c r="CF189" s="74"/>
      <c r="CG189" s="74"/>
      <c r="CH189" s="74"/>
      <c r="CI189" s="74"/>
      <c r="CJ189" s="74"/>
      <c r="CK189" s="74"/>
      <c r="CL189" s="74"/>
      <c r="CM189" s="74"/>
      <c r="CN189" s="74"/>
      <c r="CO189" s="74"/>
      <c r="CP189" s="74"/>
      <c r="CQ189" s="74"/>
      <c r="CR189" s="74"/>
      <c r="CS189" s="74"/>
      <c r="CT189" s="74"/>
      <c r="CU189" s="74"/>
      <c r="CV189" s="74"/>
      <c r="CW189" s="74"/>
      <c r="CX189" s="74"/>
      <c r="CY189" s="74"/>
      <c r="CZ189" s="74"/>
      <c r="DA189" s="74"/>
      <c r="DB189" s="74"/>
      <c r="DC189" s="74"/>
    </row>
    <row r="190" spans="15:107" customFormat="1" x14ac:dyDescent="0.35">
      <c r="O190" s="76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74"/>
      <c r="BM190" s="74"/>
      <c r="BN190" s="74"/>
      <c r="BO190" s="74"/>
      <c r="BP190" s="74"/>
      <c r="BQ190" s="74"/>
      <c r="BR190" s="74"/>
      <c r="BS190" s="74"/>
      <c r="BT190" s="74"/>
      <c r="BU190" s="74"/>
      <c r="BV190" s="74"/>
      <c r="BW190" s="74"/>
      <c r="BX190" s="74"/>
      <c r="BY190" s="74"/>
      <c r="BZ190" s="74"/>
      <c r="CA190" s="74"/>
      <c r="CB190" s="74"/>
      <c r="CC190" s="74"/>
      <c r="CD190" s="74"/>
      <c r="CE190" s="74"/>
      <c r="CF190" s="74"/>
      <c r="CG190" s="74"/>
      <c r="CH190" s="74"/>
      <c r="CI190" s="74"/>
      <c r="CJ190" s="74"/>
      <c r="CK190" s="74"/>
      <c r="CL190" s="74"/>
      <c r="CM190" s="74"/>
      <c r="CN190" s="74"/>
      <c r="CO190" s="74"/>
      <c r="CP190" s="74"/>
      <c r="CQ190" s="74"/>
      <c r="CR190" s="74"/>
      <c r="CS190" s="74"/>
      <c r="CT190" s="74"/>
      <c r="CU190" s="74"/>
      <c r="CV190" s="74"/>
      <c r="CW190" s="74"/>
      <c r="CX190" s="74"/>
      <c r="CY190" s="74"/>
      <c r="CZ190" s="74"/>
      <c r="DA190" s="74"/>
      <c r="DB190" s="74"/>
      <c r="DC190" s="74"/>
    </row>
    <row r="191" spans="15:107" customFormat="1" x14ac:dyDescent="0.35">
      <c r="O191" s="76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  <c r="AZ191" s="74"/>
      <c r="BA191" s="74"/>
      <c r="BB191" s="74"/>
      <c r="BC191" s="74"/>
      <c r="BD191" s="74"/>
      <c r="BE191" s="74"/>
      <c r="BF191" s="74"/>
      <c r="BG191" s="74"/>
      <c r="BH191" s="74"/>
      <c r="BI191" s="74"/>
      <c r="BJ191" s="74"/>
      <c r="BK191" s="74"/>
      <c r="BL191" s="74"/>
      <c r="BM191" s="74"/>
      <c r="BN191" s="74"/>
      <c r="BO191" s="74"/>
      <c r="BP191" s="74"/>
      <c r="BQ191" s="74"/>
      <c r="BR191" s="74"/>
      <c r="BS191" s="74"/>
      <c r="BT191" s="74"/>
      <c r="BU191" s="74"/>
      <c r="BV191" s="74"/>
      <c r="BW191" s="74"/>
      <c r="BX191" s="74"/>
      <c r="BY191" s="74"/>
      <c r="BZ191" s="74"/>
      <c r="CA191" s="74"/>
      <c r="CB191" s="74"/>
      <c r="CC191" s="74"/>
      <c r="CD191" s="74"/>
      <c r="CE191" s="74"/>
      <c r="CF191" s="74"/>
      <c r="CG191" s="74"/>
      <c r="CH191" s="74"/>
      <c r="CI191" s="74"/>
      <c r="CJ191" s="74"/>
      <c r="CK191" s="74"/>
      <c r="CL191" s="74"/>
      <c r="CM191" s="74"/>
      <c r="CN191" s="74"/>
      <c r="CO191" s="74"/>
      <c r="CP191" s="74"/>
      <c r="CQ191" s="74"/>
      <c r="CR191" s="74"/>
      <c r="CS191" s="74"/>
      <c r="CT191" s="74"/>
      <c r="CU191" s="74"/>
      <c r="CV191" s="74"/>
      <c r="CW191" s="74"/>
      <c r="CX191" s="74"/>
      <c r="CY191" s="74"/>
      <c r="CZ191" s="74"/>
      <c r="DA191" s="74"/>
      <c r="DB191" s="74"/>
      <c r="DC191" s="74"/>
    </row>
    <row r="192" spans="15:107" customFormat="1" x14ac:dyDescent="0.35">
      <c r="O192" s="76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74"/>
      <c r="BM192" s="74"/>
      <c r="BN192" s="74"/>
      <c r="BO192" s="74"/>
      <c r="BP192" s="74"/>
      <c r="BQ192" s="74"/>
      <c r="BR192" s="74"/>
      <c r="BS192" s="74"/>
      <c r="BT192" s="74"/>
      <c r="BU192" s="74"/>
      <c r="BV192" s="74"/>
      <c r="BW192" s="74"/>
      <c r="BX192" s="74"/>
      <c r="BY192" s="74"/>
      <c r="BZ192" s="74"/>
      <c r="CA192" s="74"/>
      <c r="CB192" s="74"/>
      <c r="CC192" s="74"/>
      <c r="CD192" s="74"/>
      <c r="CE192" s="74"/>
      <c r="CF192" s="74"/>
      <c r="CG192" s="74"/>
      <c r="CH192" s="74"/>
      <c r="CI192" s="74"/>
      <c r="CJ192" s="74"/>
      <c r="CK192" s="74"/>
      <c r="CL192" s="74"/>
      <c r="CM192" s="74"/>
      <c r="CN192" s="74"/>
      <c r="CO192" s="74"/>
      <c r="CP192" s="74"/>
      <c r="CQ192" s="74"/>
      <c r="CR192" s="74"/>
      <c r="CS192" s="74"/>
      <c r="CT192" s="74"/>
      <c r="CU192" s="74"/>
      <c r="CV192" s="74"/>
      <c r="CW192" s="74"/>
      <c r="CX192" s="74"/>
      <c r="CY192" s="74"/>
      <c r="CZ192" s="74"/>
      <c r="DA192" s="74"/>
      <c r="DB192" s="74"/>
      <c r="DC192" s="74"/>
    </row>
    <row r="193" spans="15:107" customFormat="1" x14ac:dyDescent="0.35">
      <c r="O193" s="76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74"/>
      <c r="BM193" s="74"/>
      <c r="BN193" s="74"/>
      <c r="BO193" s="74"/>
      <c r="BP193" s="74"/>
      <c r="BQ193" s="74"/>
      <c r="BR193" s="74"/>
      <c r="BS193" s="74"/>
      <c r="BT193" s="74"/>
      <c r="BU193" s="74"/>
      <c r="BV193" s="74"/>
      <c r="BW193" s="74"/>
      <c r="BX193" s="74"/>
      <c r="BY193" s="74"/>
      <c r="BZ193" s="74"/>
      <c r="CA193" s="74"/>
      <c r="CB193" s="74"/>
      <c r="CC193" s="74"/>
      <c r="CD193" s="74"/>
      <c r="CE193" s="74"/>
      <c r="CF193" s="74"/>
      <c r="CG193" s="74"/>
      <c r="CH193" s="74"/>
      <c r="CI193" s="74"/>
      <c r="CJ193" s="74"/>
      <c r="CK193" s="74"/>
      <c r="CL193" s="74"/>
      <c r="CM193" s="74"/>
      <c r="CN193" s="74"/>
      <c r="CO193" s="74"/>
      <c r="CP193" s="74"/>
      <c r="CQ193" s="74"/>
      <c r="CR193" s="74"/>
      <c r="CS193" s="74"/>
      <c r="CT193" s="74"/>
      <c r="CU193" s="74"/>
      <c r="CV193" s="74"/>
      <c r="CW193" s="74"/>
      <c r="CX193" s="74"/>
      <c r="CY193" s="74"/>
      <c r="CZ193" s="74"/>
      <c r="DA193" s="74"/>
      <c r="DB193" s="74"/>
      <c r="DC193" s="74"/>
    </row>
    <row r="194" spans="15:107" customFormat="1" x14ac:dyDescent="0.35">
      <c r="O194" s="76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74"/>
      <c r="BM194" s="74"/>
      <c r="BN194" s="74"/>
      <c r="BO194" s="74"/>
      <c r="BP194" s="74"/>
      <c r="BQ194" s="74"/>
      <c r="BR194" s="74"/>
      <c r="BS194" s="74"/>
      <c r="BT194" s="74"/>
      <c r="BU194" s="74"/>
      <c r="BV194" s="74"/>
      <c r="BW194" s="74"/>
      <c r="BX194" s="74"/>
      <c r="BY194" s="74"/>
      <c r="BZ194" s="74"/>
      <c r="CA194" s="74"/>
      <c r="CB194" s="74"/>
      <c r="CC194" s="74"/>
      <c r="CD194" s="74"/>
      <c r="CE194" s="74"/>
      <c r="CF194" s="74"/>
      <c r="CG194" s="74"/>
      <c r="CH194" s="74"/>
      <c r="CI194" s="74"/>
      <c r="CJ194" s="74"/>
      <c r="CK194" s="74"/>
      <c r="CL194" s="74"/>
      <c r="CM194" s="74"/>
      <c r="CN194" s="74"/>
      <c r="CO194" s="74"/>
      <c r="CP194" s="74"/>
      <c r="CQ194" s="74"/>
      <c r="CR194" s="74"/>
      <c r="CS194" s="74"/>
      <c r="CT194" s="74"/>
      <c r="CU194" s="74"/>
      <c r="CV194" s="74"/>
      <c r="CW194" s="74"/>
      <c r="CX194" s="74"/>
      <c r="CY194" s="74"/>
      <c r="CZ194" s="74"/>
      <c r="DA194" s="74"/>
      <c r="DB194" s="74"/>
      <c r="DC194" s="74"/>
    </row>
    <row r="195" spans="15:107" customFormat="1" x14ac:dyDescent="0.35">
      <c r="O195" s="76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74"/>
      <c r="BM195" s="74"/>
      <c r="BN195" s="74"/>
      <c r="BO195" s="74"/>
      <c r="BP195" s="74"/>
      <c r="BQ195" s="74"/>
      <c r="BR195" s="74"/>
      <c r="BS195" s="74"/>
      <c r="BT195" s="74"/>
      <c r="BU195" s="74"/>
      <c r="BV195" s="74"/>
      <c r="BW195" s="74"/>
      <c r="BX195" s="74"/>
      <c r="BY195" s="74"/>
      <c r="BZ195" s="74"/>
      <c r="CA195" s="74"/>
      <c r="CB195" s="74"/>
      <c r="CC195" s="74"/>
      <c r="CD195" s="74"/>
      <c r="CE195" s="74"/>
      <c r="CF195" s="74"/>
      <c r="CG195" s="74"/>
      <c r="CH195" s="74"/>
      <c r="CI195" s="74"/>
      <c r="CJ195" s="74"/>
      <c r="CK195" s="74"/>
      <c r="CL195" s="74"/>
      <c r="CM195" s="74"/>
      <c r="CN195" s="74"/>
      <c r="CO195" s="74"/>
      <c r="CP195" s="74"/>
      <c r="CQ195" s="74"/>
      <c r="CR195" s="74"/>
      <c r="CS195" s="74"/>
      <c r="CT195" s="74"/>
      <c r="CU195" s="74"/>
      <c r="CV195" s="74"/>
      <c r="CW195" s="74"/>
      <c r="CX195" s="74"/>
      <c r="CY195" s="74"/>
      <c r="CZ195" s="74"/>
      <c r="DA195" s="74"/>
      <c r="DB195" s="74"/>
      <c r="DC195" s="74"/>
    </row>
    <row r="196" spans="15:107" customFormat="1" x14ac:dyDescent="0.35">
      <c r="O196" s="76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  <c r="AZ196" s="74"/>
      <c r="BA196" s="74"/>
      <c r="BB196" s="74"/>
      <c r="BC196" s="74"/>
      <c r="BD196" s="74"/>
      <c r="BE196" s="74"/>
      <c r="BF196" s="74"/>
      <c r="BG196" s="74"/>
      <c r="BH196" s="74"/>
      <c r="BI196" s="74"/>
      <c r="BJ196" s="74"/>
      <c r="BK196" s="74"/>
      <c r="BL196" s="74"/>
      <c r="BM196" s="74"/>
      <c r="BN196" s="74"/>
      <c r="BO196" s="74"/>
      <c r="BP196" s="74"/>
      <c r="BQ196" s="74"/>
      <c r="BR196" s="74"/>
      <c r="BS196" s="74"/>
      <c r="BT196" s="74"/>
      <c r="BU196" s="74"/>
      <c r="BV196" s="74"/>
      <c r="BW196" s="74"/>
      <c r="BX196" s="74"/>
      <c r="BY196" s="74"/>
      <c r="BZ196" s="74"/>
      <c r="CA196" s="74"/>
      <c r="CB196" s="74"/>
      <c r="CC196" s="74"/>
      <c r="CD196" s="74"/>
      <c r="CE196" s="74"/>
      <c r="CF196" s="74"/>
      <c r="CG196" s="74"/>
      <c r="CH196" s="74"/>
      <c r="CI196" s="74"/>
      <c r="CJ196" s="74"/>
      <c r="CK196" s="74"/>
      <c r="CL196" s="74"/>
      <c r="CM196" s="74"/>
      <c r="CN196" s="74"/>
      <c r="CO196" s="74"/>
      <c r="CP196" s="74"/>
      <c r="CQ196" s="74"/>
      <c r="CR196" s="74"/>
      <c r="CS196" s="74"/>
      <c r="CT196" s="74"/>
      <c r="CU196" s="74"/>
      <c r="CV196" s="74"/>
      <c r="CW196" s="74"/>
      <c r="CX196" s="74"/>
      <c r="CY196" s="74"/>
      <c r="CZ196" s="74"/>
      <c r="DA196" s="74"/>
      <c r="DB196" s="74"/>
      <c r="DC196" s="74"/>
    </row>
    <row r="197" spans="15:107" customFormat="1" x14ac:dyDescent="0.35">
      <c r="O197" s="76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  <c r="BA197" s="74"/>
      <c r="BB197" s="74"/>
      <c r="BC197" s="74"/>
      <c r="BD197" s="74"/>
      <c r="BE197" s="74"/>
      <c r="BF197" s="74"/>
      <c r="BG197" s="74"/>
      <c r="BH197" s="74"/>
      <c r="BI197" s="74"/>
      <c r="BJ197" s="74"/>
      <c r="BK197" s="74"/>
      <c r="BL197" s="74"/>
      <c r="BM197" s="74"/>
      <c r="BN197" s="74"/>
      <c r="BO197" s="74"/>
      <c r="BP197" s="74"/>
      <c r="BQ197" s="74"/>
      <c r="BR197" s="74"/>
      <c r="BS197" s="74"/>
      <c r="BT197" s="74"/>
      <c r="BU197" s="74"/>
      <c r="BV197" s="74"/>
      <c r="BW197" s="74"/>
      <c r="BX197" s="74"/>
      <c r="BY197" s="74"/>
      <c r="BZ197" s="74"/>
      <c r="CA197" s="74"/>
      <c r="CB197" s="74"/>
      <c r="CC197" s="74"/>
      <c r="CD197" s="74"/>
      <c r="CE197" s="74"/>
      <c r="CF197" s="74"/>
      <c r="CG197" s="74"/>
      <c r="CH197" s="74"/>
      <c r="CI197" s="74"/>
      <c r="CJ197" s="74"/>
      <c r="CK197" s="74"/>
      <c r="CL197" s="74"/>
      <c r="CM197" s="74"/>
      <c r="CN197" s="74"/>
      <c r="CO197" s="74"/>
      <c r="CP197" s="74"/>
      <c r="CQ197" s="74"/>
      <c r="CR197" s="74"/>
      <c r="CS197" s="74"/>
      <c r="CT197" s="74"/>
      <c r="CU197" s="74"/>
      <c r="CV197" s="74"/>
      <c r="CW197" s="74"/>
      <c r="CX197" s="74"/>
      <c r="CY197" s="74"/>
      <c r="CZ197" s="74"/>
      <c r="DA197" s="74"/>
      <c r="DB197" s="74"/>
      <c r="DC197" s="74"/>
    </row>
    <row r="198" spans="15:107" customFormat="1" x14ac:dyDescent="0.35">
      <c r="O198" s="76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  <c r="AZ198" s="74"/>
      <c r="BA198" s="74"/>
      <c r="BB198" s="74"/>
      <c r="BC198" s="74"/>
      <c r="BD198" s="74"/>
      <c r="BE198" s="74"/>
      <c r="BF198" s="74"/>
      <c r="BG198" s="74"/>
      <c r="BH198" s="74"/>
      <c r="BI198" s="74"/>
      <c r="BJ198" s="74"/>
      <c r="BK198" s="74"/>
      <c r="BL198" s="74"/>
      <c r="BM198" s="74"/>
      <c r="BN198" s="74"/>
      <c r="BO198" s="74"/>
      <c r="BP198" s="74"/>
      <c r="BQ198" s="74"/>
      <c r="BR198" s="74"/>
      <c r="BS198" s="74"/>
      <c r="BT198" s="74"/>
      <c r="BU198" s="74"/>
      <c r="BV198" s="74"/>
      <c r="BW198" s="74"/>
      <c r="BX198" s="74"/>
      <c r="BY198" s="74"/>
      <c r="BZ198" s="74"/>
      <c r="CA198" s="74"/>
      <c r="CB198" s="74"/>
      <c r="CC198" s="74"/>
      <c r="CD198" s="74"/>
      <c r="CE198" s="74"/>
      <c r="CF198" s="74"/>
      <c r="CG198" s="74"/>
      <c r="CH198" s="74"/>
      <c r="CI198" s="74"/>
      <c r="CJ198" s="74"/>
      <c r="CK198" s="74"/>
      <c r="CL198" s="74"/>
      <c r="CM198" s="74"/>
      <c r="CN198" s="74"/>
      <c r="CO198" s="74"/>
      <c r="CP198" s="74"/>
      <c r="CQ198" s="74"/>
      <c r="CR198" s="74"/>
      <c r="CS198" s="74"/>
      <c r="CT198" s="74"/>
      <c r="CU198" s="74"/>
      <c r="CV198" s="74"/>
      <c r="CW198" s="74"/>
      <c r="CX198" s="74"/>
      <c r="CY198" s="74"/>
      <c r="CZ198" s="74"/>
      <c r="DA198" s="74"/>
      <c r="DB198" s="74"/>
      <c r="DC198" s="74"/>
    </row>
    <row r="199" spans="15:107" customFormat="1" x14ac:dyDescent="0.35">
      <c r="O199" s="76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74"/>
      <c r="BM199" s="74"/>
      <c r="BN199" s="74"/>
      <c r="BO199" s="74"/>
      <c r="BP199" s="74"/>
      <c r="BQ199" s="74"/>
      <c r="BR199" s="74"/>
      <c r="BS199" s="74"/>
      <c r="BT199" s="74"/>
      <c r="BU199" s="74"/>
      <c r="BV199" s="74"/>
      <c r="BW199" s="74"/>
      <c r="BX199" s="74"/>
      <c r="BY199" s="74"/>
      <c r="BZ199" s="74"/>
      <c r="CA199" s="74"/>
      <c r="CB199" s="74"/>
      <c r="CC199" s="74"/>
      <c r="CD199" s="74"/>
      <c r="CE199" s="74"/>
      <c r="CF199" s="74"/>
      <c r="CG199" s="74"/>
      <c r="CH199" s="74"/>
      <c r="CI199" s="74"/>
      <c r="CJ199" s="74"/>
      <c r="CK199" s="74"/>
      <c r="CL199" s="74"/>
      <c r="CM199" s="74"/>
      <c r="CN199" s="74"/>
      <c r="CO199" s="74"/>
      <c r="CP199" s="74"/>
      <c r="CQ199" s="74"/>
      <c r="CR199" s="74"/>
      <c r="CS199" s="74"/>
      <c r="CT199" s="74"/>
      <c r="CU199" s="74"/>
      <c r="CV199" s="74"/>
      <c r="CW199" s="74"/>
      <c r="CX199" s="74"/>
      <c r="CY199" s="74"/>
      <c r="CZ199" s="74"/>
      <c r="DA199" s="74"/>
      <c r="DB199" s="74"/>
      <c r="DC199" s="74"/>
    </row>
    <row r="200" spans="15:107" customFormat="1" x14ac:dyDescent="0.35">
      <c r="O200" s="76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74"/>
      <c r="BN200" s="74"/>
      <c r="BO200" s="74"/>
      <c r="BP200" s="74"/>
      <c r="BQ200" s="74"/>
      <c r="BR200" s="74"/>
      <c r="BS200" s="74"/>
      <c r="BT200" s="74"/>
      <c r="BU200" s="74"/>
      <c r="BV200" s="74"/>
      <c r="BW200" s="74"/>
      <c r="BX200" s="74"/>
      <c r="BY200" s="74"/>
      <c r="BZ200" s="74"/>
      <c r="CA200" s="74"/>
      <c r="CB200" s="74"/>
      <c r="CC200" s="74"/>
      <c r="CD200" s="74"/>
      <c r="CE200" s="74"/>
      <c r="CF200" s="74"/>
      <c r="CG200" s="74"/>
      <c r="CH200" s="74"/>
      <c r="CI200" s="74"/>
      <c r="CJ200" s="74"/>
      <c r="CK200" s="74"/>
      <c r="CL200" s="74"/>
      <c r="CM200" s="74"/>
      <c r="CN200" s="74"/>
      <c r="CO200" s="74"/>
      <c r="CP200" s="74"/>
      <c r="CQ200" s="74"/>
      <c r="CR200" s="74"/>
      <c r="CS200" s="74"/>
      <c r="CT200" s="74"/>
      <c r="CU200" s="74"/>
      <c r="CV200" s="74"/>
      <c r="CW200" s="74"/>
      <c r="CX200" s="74"/>
      <c r="CY200" s="74"/>
      <c r="CZ200" s="74"/>
      <c r="DA200" s="74"/>
      <c r="DB200" s="74"/>
      <c r="DC200" s="74"/>
    </row>
    <row r="201" spans="15:107" customFormat="1" x14ac:dyDescent="0.35">
      <c r="O201" s="76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74"/>
      <c r="BM201" s="74"/>
      <c r="BN201" s="74"/>
      <c r="BO201" s="74"/>
      <c r="BP201" s="74"/>
      <c r="BQ201" s="74"/>
      <c r="BR201" s="74"/>
      <c r="BS201" s="74"/>
      <c r="BT201" s="74"/>
      <c r="BU201" s="74"/>
      <c r="BV201" s="74"/>
      <c r="BW201" s="74"/>
      <c r="BX201" s="74"/>
      <c r="BY201" s="74"/>
      <c r="BZ201" s="74"/>
      <c r="CA201" s="74"/>
      <c r="CB201" s="74"/>
      <c r="CC201" s="74"/>
      <c r="CD201" s="74"/>
      <c r="CE201" s="74"/>
      <c r="CF201" s="74"/>
      <c r="CG201" s="74"/>
      <c r="CH201" s="74"/>
      <c r="CI201" s="74"/>
      <c r="CJ201" s="74"/>
      <c r="CK201" s="74"/>
      <c r="CL201" s="74"/>
      <c r="CM201" s="74"/>
      <c r="CN201" s="74"/>
      <c r="CO201" s="74"/>
      <c r="CP201" s="74"/>
      <c r="CQ201" s="74"/>
      <c r="CR201" s="74"/>
      <c r="CS201" s="74"/>
      <c r="CT201" s="74"/>
      <c r="CU201" s="74"/>
      <c r="CV201" s="74"/>
      <c r="CW201" s="74"/>
      <c r="CX201" s="74"/>
      <c r="CY201" s="74"/>
      <c r="CZ201" s="74"/>
      <c r="DA201" s="74"/>
      <c r="DB201" s="74"/>
      <c r="DC201" s="74"/>
    </row>
    <row r="202" spans="15:107" customFormat="1" x14ac:dyDescent="0.35">
      <c r="O202" s="76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74"/>
      <c r="BM202" s="74"/>
      <c r="BN202" s="74"/>
      <c r="BO202" s="74"/>
      <c r="BP202" s="74"/>
      <c r="BQ202" s="74"/>
      <c r="BR202" s="74"/>
      <c r="BS202" s="74"/>
      <c r="BT202" s="74"/>
      <c r="BU202" s="74"/>
      <c r="BV202" s="74"/>
      <c r="BW202" s="74"/>
      <c r="BX202" s="74"/>
      <c r="BY202" s="74"/>
      <c r="BZ202" s="74"/>
      <c r="CA202" s="74"/>
      <c r="CB202" s="74"/>
      <c r="CC202" s="74"/>
      <c r="CD202" s="74"/>
      <c r="CE202" s="74"/>
      <c r="CF202" s="74"/>
      <c r="CG202" s="74"/>
      <c r="CH202" s="74"/>
      <c r="CI202" s="74"/>
      <c r="CJ202" s="74"/>
      <c r="CK202" s="74"/>
      <c r="CL202" s="74"/>
      <c r="CM202" s="74"/>
      <c r="CN202" s="74"/>
      <c r="CO202" s="74"/>
      <c r="CP202" s="74"/>
      <c r="CQ202" s="74"/>
      <c r="CR202" s="74"/>
      <c r="CS202" s="74"/>
      <c r="CT202" s="74"/>
      <c r="CU202" s="74"/>
      <c r="CV202" s="74"/>
      <c r="CW202" s="74"/>
      <c r="CX202" s="74"/>
      <c r="CY202" s="74"/>
      <c r="CZ202" s="74"/>
      <c r="DA202" s="74"/>
      <c r="DB202" s="74"/>
      <c r="DC202" s="74"/>
    </row>
    <row r="203" spans="15:107" customFormat="1" x14ac:dyDescent="0.35">
      <c r="O203" s="76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  <c r="BA203" s="74"/>
      <c r="BB203" s="74"/>
      <c r="BC203" s="74"/>
      <c r="BD203" s="74"/>
      <c r="BE203" s="74"/>
      <c r="BF203" s="74"/>
      <c r="BG203" s="74"/>
      <c r="BH203" s="74"/>
      <c r="BI203" s="74"/>
      <c r="BJ203" s="74"/>
      <c r="BK203" s="74"/>
      <c r="BL203" s="74"/>
      <c r="BM203" s="74"/>
      <c r="BN203" s="74"/>
      <c r="BO203" s="74"/>
      <c r="BP203" s="74"/>
      <c r="BQ203" s="74"/>
      <c r="BR203" s="74"/>
      <c r="BS203" s="74"/>
      <c r="BT203" s="74"/>
      <c r="BU203" s="74"/>
      <c r="BV203" s="74"/>
      <c r="BW203" s="74"/>
      <c r="BX203" s="74"/>
      <c r="BY203" s="74"/>
      <c r="BZ203" s="74"/>
      <c r="CA203" s="74"/>
      <c r="CB203" s="74"/>
      <c r="CC203" s="74"/>
      <c r="CD203" s="74"/>
      <c r="CE203" s="74"/>
      <c r="CF203" s="74"/>
      <c r="CG203" s="74"/>
      <c r="CH203" s="74"/>
      <c r="CI203" s="74"/>
      <c r="CJ203" s="74"/>
      <c r="CK203" s="74"/>
      <c r="CL203" s="74"/>
      <c r="CM203" s="74"/>
      <c r="CN203" s="74"/>
      <c r="CO203" s="74"/>
      <c r="CP203" s="74"/>
      <c r="CQ203" s="74"/>
      <c r="CR203" s="74"/>
      <c r="CS203" s="74"/>
      <c r="CT203" s="74"/>
      <c r="CU203" s="74"/>
      <c r="CV203" s="74"/>
      <c r="CW203" s="74"/>
      <c r="CX203" s="74"/>
      <c r="CY203" s="74"/>
      <c r="CZ203" s="74"/>
      <c r="DA203" s="74"/>
      <c r="DB203" s="74"/>
      <c r="DC203" s="74"/>
    </row>
    <row r="204" spans="15:107" customFormat="1" x14ac:dyDescent="0.35">
      <c r="O204" s="76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74"/>
      <c r="BM204" s="74"/>
      <c r="BN204" s="74"/>
      <c r="BO204" s="74"/>
      <c r="BP204" s="74"/>
      <c r="BQ204" s="74"/>
      <c r="BR204" s="74"/>
      <c r="BS204" s="74"/>
      <c r="BT204" s="74"/>
      <c r="BU204" s="74"/>
      <c r="BV204" s="74"/>
      <c r="BW204" s="74"/>
      <c r="BX204" s="74"/>
      <c r="BY204" s="74"/>
      <c r="BZ204" s="74"/>
      <c r="CA204" s="74"/>
      <c r="CB204" s="74"/>
      <c r="CC204" s="74"/>
      <c r="CD204" s="74"/>
      <c r="CE204" s="74"/>
      <c r="CF204" s="74"/>
      <c r="CG204" s="74"/>
      <c r="CH204" s="74"/>
      <c r="CI204" s="74"/>
      <c r="CJ204" s="74"/>
      <c r="CK204" s="74"/>
      <c r="CL204" s="74"/>
      <c r="CM204" s="74"/>
      <c r="CN204" s="74"/>
      <c r="CO204" s="74"/>
      <c r="CP204" s="74"/>
      <c r="CQ204" s="74"/>
      <c r="CR204" s="74"/>
      <c r="CS204" s="74"/>
      <c r="CT204" s="74"/>
      <c r="CU204" s="74"/>
      <c r="CV204" s="74"/>
      <c r="CW204" s="74"/>
      <c r="CX204" s="74"/>
      <c r="CY204" s="74"/>
      <c r="CZ204" s="74"/>
      <c r="DA204" s="74"/>
      <c r="DB204" s="74"/>
      <c r="DC204" s="74"/>
    </row>
    <row r="205" spans="15:107" customFormat="1" x14ac:dyDescent="0.35">
      <c r="O205" s="76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74"/>
      <c r="BM205" s="74"/>
      <c r="BN205" s="74"/>
      <c r="BO205" s="74"/>
      <c r="BP205" s="74"/>
      <c r="BQ205" s="74"/>
      <c r="BR205" s="74"/>
      <c r="BS205" s="74"/>
      <c r="BT205" s="74"/>
      <c r="BU205" s="74"/>
      <c r="BV205" s="74"/>
      <c r="BW205" s="74"/>
      <c r="BX205" s="74"/>
      <c r="BY205" s="74"/>
      <c r="BZ205" s="74"/>
      <c r="CA205" s="74"/>
      <c r="CB205" s="74"/>
      <c r="CC205" s="74"/>
      <c r="CD205" s="74"/>
      <c r="CE205" s="74"/>
      <c r="CF205" s="74"/>
      <c r="CG205" s="74"/>
      <c r="CH205" s="74"/>
      <c r="CI205" s="74"/>
      <c r="CJ205" s="74"/>
      <c r="CK205" s="74"/>
      <c r="CL205" s="74"/>
      <c r="CM205" s="74"/>
      <c r="CN205" s="74"/>
      <c r="CO205" s="74"/>
      <c r="CP205" s="74"/>
      <c r="CQ205" s="74"/>
      <c r="CR205" s="74"/>
      <c r="CS205" s="74"/>
      <c r="CT205" s="74"/>
      <c r="CU205" s="74"/>
      <c r="CV205" s="74"/>
      <c r="CW205" s="74"/>
      <c r="CX205" s="74"/>
      <c r="CY205" s="74"/>
      <c r="CZ205" s="74"/>
      <c r="DA205" s="74"/>
      <c r="DB205" s="74"/>
      <c r="DC205" s="74"/>
    </row>
    <row r="206" spans="15:107" customFormat="1" x14ac:dyDescent="0.35">
      <c r="O206" s="76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74"/>
      <c r="BM206" s="74"/>
      <c r="BN206" s="74"/>
      <c r="BO206" s="74"/>
      <c r="BP206" s="74"/>
      <c r="BQ206" s="74"/>
      <c r="BR206" s="74"/>
      <c r="BS206" s="74"/>
      <c r="BT206" s="74"/>
      <c r="BU206" s="74"/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/>
      <c r="CP206" s="74"/>
      <c r="CQ206" s="74"/>
      <c r="CR206" s="74"/>
      <c r="CS206" s="74"/>
      <c r="CT206" s="74"/>
      <c r="CU206" s="74"/>
      <c r="CV206" s="74"/>
      <c r="CW206" s="74"/>
      <c r="CX206" s="74"/>
      <c r="CY206" s="74"/>
      <c r="CZ206" s="74"/>
      <c r="DA206" s="74"/>
      <c r="DB206" s="74"/>
      <c r="DC206" s="74"/>
    </row>
    <row r="207" spans="15:107" customFormat="1" x14ac:dyDescent="0.35">
      <c r="O207" s="76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74"/>
      <c r="BJ207" s="74"/>
      <c r="BK207" s="74"/>
      <c r="BL207" s="74"/>
      <c r="BM207" s="74"/>
      <c r="BN207" s="74"/>
      <c r="BO207" s="74"/>
      <c r="BP207" s="74"/>
      <c r="BQ207" s="74"/>
      <c r="BR207" s="74"/>
      <c r="BS207" s="74"/>
      <c r="BT207" s="74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74"/>
      <c r="CU207" s="74"/>
      <c r="CV207" s="74"/>
      <c r="CW207" s="74"/>
      <c r="CX207" s="74"/>
      <c r="CY207" s="74"/>
      <c r="CZ207" s="74"/>
      <c r="DA207" s="74"/>
      <c r="DB207" s="74"/>
      <c r="DC207" s="74"/>
    </row>
    <row r="208" spans="15:107" customFormat="1" x14ac:dyDescent="0.35">
      <c r="O208" s="76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  <c r="BD208" s="74"/>
      <c r="BE208" s="74"/>
      <c r="BF208" s="74"/>
      <c r="BG208" s="74"/>
      <c r="BH208" s="74"/>
      <c r="BI208" s="74"/>
      <c r="BJ208" s="74"/>
      <c r="BK208" s="74"/>
      <c r="BL208" s="74"/>
      <c r="BM208" s="74"/>
      <c r="BN208" s="74"/>
      <c r="BO208" s="74"/>
      <c r="BP208" s="74"/>
      <c r="BQ208" s="74"/>
      <c r="BR208" s="74"/>
      <c r="BS208" s="74"/>
      <c r="BT208" s="74"/>
      <c r="BU208" s="74"/>
      <c r="BV208" s="74"/>
      <c r="BW208" s="74"/>
      <c r="BX208" s="74"/>
      <c r="BY208" s="74"/>
      <c r="BZ208" s="74"/>
      <c r="CA208" s="74"/>
      <c r="CB208" s="74"/>
      <c r="CC208" s="74"/>
      <c r="CD208" s="74"/>
      <c r="CE208" s="74"/>
      <c r="CF208" s="74"/>
      <c r="CG208" s="74"/>
      <c r="CH208" s="74"/>
      <c r="CI208" s="74"/>
      <c r="CJ208" s="74"/>
      <c r="CK208" s="74"/>
      <c r="CL208" s="74"/>
      <c r="CM208" s="74"/>
      <c r="CN208" s="74"/>
      <c r="CO208" s="74"/>
      <c r="CP208" s="74"/>
      <c r="CQ208" s="74"/>
      <c r="CR208" s="74"/>
      <c r="CS208" s="74"/>
      <c r="CT208" s="74"/>
      <c r="CU208" s="74"/>
      <c r="CV208" s="74"/>
      <c r="CW208" s="74"/>
      <c r="CX208" s="74"/>
      <c r="CY208" s="74"/>
      <c r="CZ208" s="74"/>
      <c r="DA208" s="74"/>
      <c r="DB208" s="74"/>
      <c r="DC208" s="74"/>
    </row>
    <row r="209" spans="15:107" customFormat="1" x14ac:dyDescent="0.35">
      <c r="O209" s="76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  <c r="BA209" s="74"/>
      <c r="BB209" s="74"/>
      <c r="BC209" s="74"/>
      <c r="BD209" s="74"/>
      <c r="BE209" s="74"/>
      <c r="BF209" s="74"/>
      <c r="BG209" s="74"/>
      <c r="BH209" s="74"/>
      <c r="BI209" s="74"/>
      <c r="BJ209" s="74"/>
      <c r="BK209" s="74"/>
      <c r="BL209" s="74"/>
      <c r="BM209" s="74"/>
      <c r="BN209" s="74"/>
      <c r="BO209" s="74"/>
      <c r="BP209" s="74"/>
      <c r="BQ209" s="74"/>
      <c r="BR209" s="74"/>
      <c r="BS209" s="74"/>
      <c r="BT209" s="74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74"/>
      <c r="CU209" s="74"/>
      <c r="CV209" s="74"/>
      <c r="CW209" s="74"/>
      <c r="CX209" s="74"/>
      <c r="CY209" s="74"/>
      <c r="CZ209" s="74"/>
      <c r="DA209" s="74"/>
      <c r="DB209" s="74"/>
      <c r="DC209" s="74"/>
    </row>
    <row r="210" spans="15:107" customFormat="1" x14ac:dyDescent="0.35">
      <c r="O210" s="76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74"/>
      <c r="CU210" s="74"/>
      <c r="CV210" s="74"/>
      <c r="CW210" s="74"/>
      <c r="CX210" s="74"/>
      <c r="CY210" s="74"/>
      <c r="CZ210" s="74"/>
      <c r="DA210" s="74"/>
      <c r="DB210" s="74"/>
      <c r="DC210" s="74"/>
    </row>
    <row r="211" spans="15:107" customFormat="1" x14ac:dyDescent="0.35">
      <c r="O211" s="76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74"/>
      <c r="CU211" s="74"/>
      <c r="CV211" s="74"/>
      <c r="CW211" s="74"/>
      <c r="CX211" s="74"/>
      <c r="CY211" s="74"/>
      <c r="CZ211" s="74"/>
      <c r="DA211" s="74"/>
      <c r="DB211" s="74"/>
      <c r="DC211" s="74"/>
    </row>
    <row r="212" spans="15:107" customFormat="1" x14ac:dyDescent="0.35">
      <c r="O212" s="76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74"/>
      <c r="CU212" s="74"/>
      <c r="CV212" s="74"/>
      <c r="CW212" s="74"/>
      <c r="CX212" s="74"/>
      <c r="CY212" s="74"/>
      <c r="CZ212" s="74"/>
      <c r="DA212" s="74"/>
      <c r="DB212" s="74"/>
      <c r="DC212" s="74"/>
    </row>
    <row r="213" spans="15:107" customFormat="1" x14ac:dyDescent="0.35">
      <c r="O213" s="76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74"/>
      <c r="CU213" s="74"/>
      <c r="CV213" s="74"/>
      <c r="CW213" s="74"/>
      <c r="CX213" s="74"/>
      <c r="CY213" s="74"/>
      <c r="CZ213" s="74"/>
      <c r="DA213" s="74"/>
      <c r="DB213" s="74"/>
      <c r="DC213" s="74"/>
    </row>
    <row r="214" spans="15:107" customFormat="1" x14ac:dyDescent="0.35">
      <c r="O214" s="76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74"/>
      <c r="CU214" s="74"/>
      <c r="CV214" s="74"/>
      <c r="CW214" s="74"/>
      <c r="CX214" s="74"/>
      <c r="CY214" s="74"/>
      <c r="CZ214" s="74"/>
      <c r="DA214" s="74"/>
      <c r="DB214" s="74"/>
      <c r="DC214" s="74"/>
    </row>
    <row r="215" spans="15:107" customFormat="1" x14ac:dyDescent="0.35">
      <c r="O215" s="76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74"/>
      <c r="CU215" s="74"/>
      <c r="CV215" s="74"/>
      <c r="CW215" s="74"/>
      <c r="CX215" s="74"/>
      <c r="CY215" s="74"/>
      <c r="CZ215" s="74"/>
      <c r="DA215" s="74"/>
      <c r="DB215" s="74"/>
      <c r="DC215" s="74"/>
    </row>
    <row r="216" spans="15:107" customFormat="1" x14ac:dyDescent="0.35">
      <c r="O216" s="76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74"/>
      <c r="CU216" s="74"/>
      <c r="CV216" s="74"/>
      <c r="CW216" s="74"/>
      <c r="CX216" s="74"/>
      <c r="CY216" s="74"/>
      <c r="CZ216" s="74"/>
      <c r="DA216" s="74"/>
      <c r="DB216" s="74"/>
      <c r="DC216" s="74"/>
    </row>
    <row r="217" spans="15:107" customFormat="1" x14ac:dyDescent="0.35">
      <c r="O217" s="76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74"/>
      <c r="CU217" s="74"/>
      <c r="CV217" s="74"/>
      <c r="CW217" s="74"/>
      <c r="CX217" s="74"/>
      <c r="CY217" s="74"/>
      <c r="CZ217" s="74"/>
      <c r="DA217" s="74"/>
      <c r="DB217" s="74"/>
      <c r="DC217" s="74"/>
    </row>
    <row r="218" spans="15:107" customFormat="1" x14ac:dyDescent="0.35">
      <c r="O218" s="76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74"/>
      <c r="CU218" s="74"/>
      <c r="CV218" s="74"/>
      <c r="CW218" s="74"/>
      <c r="CX218" s="74"/>
      <c r="CY218" s="74"/>
      <c r="CZ218" s="74"/>
      <c r="DA218" s="74"/>
      <c r="DB218" s="74"/>
      <c r="DC218" s="74"/>
    </row>
    <row r="219" spans="15:107" customFormat="1" x14ac:dyDescent="0.35">
      <c r="O219" s="76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74"/>
      <c r="CU219" s="74"/>
      <c r="CV219" s="74"/>
      <c r="CW219" s="74"/>
      <c r="CX219" s="74"/>
      <c r="CY219" s="74"/>
      <c r="CZ219" s="74"/>
      <c r="DA219" s="74"/>
      <c r="DB219" s="74"/>
      <c r="DC219" s="74"/>
    </row>
    <row r="220" spans="15:107" customFormat="1" x14ac:dyDescent="0.35">
      <c r="O220" s="76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  <c r="BD220" s="74"/>
      <c r="BE220" s="74"/>
      <c r="BF220" s="74"/>
      <c r="BG220" s="74"/>
      <c r="BH220" s="74"/>
      <c r="BI220" s="74"/>
      <c r="BJ220" s="74"/>
      <c r="BK220" s="74"/>
      <c r="BL220" s="74"/>
      <c r="BM220" s="74"/>
      <c r="BN220" s="74"/>
      <c r="BO220" s="74"/>
      <c r="BP220" s="74"/>
      <c r="BQ220" s="74"/>
      <c r="BR220" s="74"/>
      <c r="BS220" s="74"/>
      <c r="BT220" s="74"/>
      <c r="BU220" s="74"/>
      <c r="BV220" s="74"/>
      <c r="BW220" s="74"/>
      <c r="BX220" s="74"/>
      <c r="BY220" s="74"/>
      <c r="BZ220" s="74"/>
      <c r="CA220" s="74"/>
      <c r="CB220" s="74"/>
      <c r="CC220" s="74"/>
      <c r="CD220" s="74"/>
      <c r="CE220" s="74"/>
      <c r="CF220" s="74"/>
      <c r="CG220" s="74"/>
      <c r="CH220" s="74"/>
      <c r="CI220" s="74"/>
      <c r="CJ220" s="74"/>
      <c r="CK220" s="74"/>
      <c r="CL220" s="74"/>
      <c r="CM220" s="74"/>
      <c r="CN220" s="74"/>
      <c r="CO220" s="74"/>
      <c r="CP220" s="74"/>
      <c r="CQ220" s="74"/>
      <c r="CR220" s="74"/>
      <c r="CS220" s="74"/>
      <c r="CT220" s="74"/>
      <c r="CU220" s="74"/>
      <c r="CV220" s="74"/>
      <c r="CW220" s="74"/>
      <c r="CX220" s="74"/>
      <c r="CY220" s="74"/>
      <c r="CZ220" s="74"/>
      <c r="DA220" s="74"/>
      <c r="DB220" s="74"/>
      <c r="DC220" s="74"/>
    </row>
    <row r="221" spans="15:107" customFormat="1" x14ac:dyDescent="0.35">
      <c r="O221" s="76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74"/>
      <c r="BM221" s="74"/>
      <c r="BN221" s="74"/>
      <c r="BO221" s="74"/>
      <c r="BP221" s="74"/>
      <c r="BQ221" s="74"/>
      <c r="BR221" s="74"/>
      <c r="BS221" s="74"/>
      <c r="BT221" s="74"/>
      <c r="BU221" s="74"/>
      <c r="BV221" s="74"/>
      <c r="BW221" s="74"/>
      <c r="BX221" s="74"/>
      <c r="BY221" s="74"/>
      <c r="BZ221" s="74"/>
      <c r="CA221" s="74"/>
      <c r="CB221" s="74"/>
      <c r="CC221" s="74"/>
      <c r="CD221" s="74"/>
      <c r="CE221" s="74"/>
      <c r="CF221" s="74"/>
      <c r="CG221" s="74"/>
      <c r="CH221" s="74"/>
      <c r="CI221" s="74"/>
      <c r="CJ221" s="74"/>
      <c r="CK221" s="74"/>
      <c r="CL221" s="74"/>
      <c r="CM221" s="74"/>
      <c r="CN221" s="74"/>
      <c r="CO221" s="74"/>
      <c r="CP221" s="74"/>
      <c r="CQ221" s="74"/>
      <c r="CR221" s="74"/>
      <c r="CS221" s="74"/>
      <c r="CT221" s="74"/>
      <c r="CU221" s="74"/>
      <c r="CV221" s="74"/>
      <c r="CW221" s="74"/>
      <c r="CX221" s="74"/>
      <c r="CY221" s="74"/>
      <c r="CZ221" s="74"/>
      <c r="DA221" s="74"/>
      <c r="DB221" s="74"/>
      <c r="DC221" s="74"/>
    </row>
    <row r="222" spans="15:107" customFormat="1" x14ac:dyDescent="0.35">
      <c r="O222" s="76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74"/>
      <c r="BM222" s="74"/>
      <c r="BN222" s="74"/>
      <c r="BO222" s="74"/>
      <c r="BP222" s="74"/>
      <c r="BQ222" s="74"/>
      <c r="BR222" s="74"/>
      <c r="BS222" s="74"/>
      <c r="BT222" s="74"/>
      <c r="BU222" s="74"/>
      <c r="BV222" s="74"/>
      <c r="BW222" s="74"/>
      <c r="BX222" s="74"/>
      <c r="BY222" s="74"/>
      <c r="BZ222" s="74"/>
      <c r="CA222" s="74"/>
      <c r="CB222" s="74"/>
      <c r="CC222" s="74"/>
      <c r="CD222" s="74"/>
      <c r="CE222" s="74"/>
      <c r="CF222" s="74"/>
      <c r="CG222" s="74"/>
      <c r="CH222" s="74"/>
      <c r="CI222" s="74"/>
      <c r="CJ222" s="74"/>
      <c r="CK222" s="74"/>
      <c r="CL222" s="74"/>
      <c r="CM222" s="74"/>
      <c r="CN222" s="74"/>
      <c r="CO222" s="74"/>
      <c r="CP222" s="74"/>
      <c r="CQ222" s="74"/>
      <c r="CR222" s="74"/>
      <c r="CS222" s="74"/>
      <c r="CT222" s="74"/>
      <c r="CU222" s="74"/>
      <c r="CV222" s="74"/>
      <c r="CW222" s="74"/>
      <c r="CX222" s="74"/>
      <c r="CY222" s="74"/>
      <c r="CZ222" s="74"/>
      <c r="DA222" s="74"/>
      <c r="DB222" s="74"/>
      <c r="DC222" s="74"/>
    </row>
    <row r="223" spans="15:107" customFormat="1" x14ac:dyDescent="0.35">
      <c r="O223" s="76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74"/>
      <c r="BM223" s="74"/>
      <c r="BN223" s="74"/>
      <c r="BO223" s="74"/>
      <c r="BP223" s="74"/>
      <c r="BQ223" s="74"/>
      <c r="BR223" s="74"/>
      <c r="BS223" s="74"/>
      <c r="BT223" s="74"/>
      <c r="BU223" s="74"/>
      <c r="BV223" s="74"/>
      <c r="BW223" s="74"/>
      <c r="BX223" s="74"/>
      <c r="BY223" s="74"/>
      <c r="BZ223" s="74"/>
      <c r="CA223" s="74"/>
      <c r="CB223" s="74"/>
      <c r="CC223" s="74"/>
      <c r="CD223" s="74"/>
      <c r="CE223" s="74"/>
      <c r="CF223" s="74"/>
      <c r="CG223" s="74"/>
      <c r="CH223" s="74"/>
      <c r="CI223" s="74"/>
      <c r="CJ223" s="74"/>
      <c r="CK223" s="74"/>
      <c r="CL223" s="74"/>
      <c r="CM223" s="74"/>
      <c r="CN223" s="74"/>
      <c r="CO223" s="74"/>
      <c r="CP223" s="74"/>
      <c r="CQ223" s="74"/>
      <c r="CR223" s="74"/>
      <c r="CS223" s="74"/>
      <c r="CT223" s="74"/>
      <c r="CU223" s="74"/>
      <c r="CV223" s="74"/>
      <c r="CW223" s="74"/>
      <c r="CX223" s="74"/>
      <c r="CY223" s="74"/>
      <c r="CZ223" s="74"/>
      <c r="DA223" s="74"/>
      <c r="DB223" s="74"/>
      <c r="DC223" s="74"/>
    </row>
    <row r="224" spans="15:107" customFormat="1" x14ac:dyDescent="0.35">
      <c r="O224" s="76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74"/>
      <c r="BM224" s="74"/>
      <c r="BN224" s="74"/>
      <c r="BO224" s="74"/>
      <c r="BP224" s="74"/>
      <c r="BQ224" s="74"/>
      <c r="BR224" s="74"/>
      <c r="BS224" s="74"/>
      <c r="BT224" s="74"/>
      <c r="BU224" s="74"/>
      <c r="BV224" s="74"/>
      <c r="BW224" s="74"/>
      <c r="BX224" s="74"/>
      <c r="BY224" s="74"/>
      <c r="BZ224" s="74"/>
      <c r="CA224" s="74"/>
      <c r="CB224" s="74"/>
      <c r="CC224" s="74"/>
      <c r="CD224" s="74"/>
      <c r="CE224" s="74"/>
      <c r="CF224" s="74"/>
      <c r="CG224" s="74"/>
      <c r="CH224" s="74"/>
      <c r="CI224" s="74"/>
      <c r="CJ224" s="74"/>
      <c r="CK224" s="74"/>
      <c r="CL224" s="74"/>
      <c r="CM224" s="74"/>
      <c r="CN224" s="74"/>
      <c r="CO224" s="74"/>
      <c r="CP224" s="74"/>
      <c r="CQ224" s="74"/>
      <c r="CR224" s="74"/>
      <c r="CS224" s="74"/>
      <c r="CT224" s="74"/>
      <c r="CU224" s="74"/>
      <c r="CV224" s="74"/>
      <c r="CW224" s="74"/>
      <c r="CX224" s="74"/>
      <c r="CY224" s="74"/>
      <c r="CZ224" s="74"/>
      <c r="DA224" s="74"/>
      <c r="DB224" s="74"/>
      <c r="DC224" s="74"/>
    </row>
    <row r="225" spans="15:107" customFormat="1" x14ac:dyDescent="0.35">
      <c r="O225" s="76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74"/>
      <c r="BM225" s="74"/>
      <c r="BN225" s="74"/>
      <c r="BO225" s="74"/>
      <c r="BP225" s="74"/>
      <c r="BQ225" s="74"/>
      <c r="BR225" s="74"/>
      <c r="BS225" s="74"/>
      <c r="BT225" s="74"/>
      <c r="BU225" s="74"/>
      <c r="BV225" s="74"/>
      <c r="BW225" s="74"/>
      <c r="BX225" s="74"/>
      <c r="BY225" s="74"/>
      <c r="BZ225" s="74"/>
      <c r="CA225" s="74"/>
      <c r="CB225" s="74"/>
      <c r="CC225" s="74"/>
      <c r="CD225" s="74"/>
      <c r="CE225" s="74"/>
      <c r="CF225" s="74"/>
      <c r="CG225" s="74"/>
      <c r="CH225" s="74"/>
      <c r="CI225" s="74"/>
      <c r="CJ225" s="74"/>
      <c r="CK225" s="74"/>
      <c r="CL225" s="74"/>
      <c r="CM225" s="74"/>
      <c r="CN225" s="74"/>
      <c r="CO225" s="74"/>
      <c r="CP225" s="74"/>
      <c r="CQ225" s="74"/>
      <c r="CR225" s="74"/>
      <c r="CS225" s="74"/>
      <c r="CT225" s="74"/>
      <c r="CU225" s="74"/>
      <c r="CV225" s="74"/>
      <c r="CW225" s="74"/>
      <c r="CX225" s="74"/>
      <c r="CY225" s="74"/>
      <c r="CZ225" s="74"/>
      <c r="DA225" s="74"/>
      <c r="DB225" s="74"/>
      <c r="DC225" s="74"/>
    </row>
    <row r="226" spans="15:107" customFormat="1" x14ac:dyDescent="0.35">
      <c r="O226" s="76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  <c r="AZ226" s="74"/>
      <c r="BA226" s="74"/>
      <c r="BB226" s="74"/>
      <c r="BC226" s="74"/>
      <c r="BD226" s="74"/>
      <c r="BE226" s="74"/>
      <c r="BF226" s="74"/>
      <c r="BG226" s="74"/>
      <c r="BH226" s="74"/>
      <c r="BI226" s="74"/>
      <c r="BJ226" s="74"/>
      <c r="BK226" s="74"/>
      <c r="BL226" s="74"/>
      <c r="BM226" s="74"/>
      <c r="BN226" s="74"/>
      <c r="BO226" s="74"/>
      <c r="BP226" s="74"/>
      <c r="BQ226" s="74"/>
      <c r="BR226" s="74"/>
      <c r="BS226" s="74"/>
      <c r="BT226" s="74"/>
      <c r="BU226" s="74"/>
      <c r="BV226" s="74"/>
      <c r="BW226" s="74"/>
      <c r="BX226" s="74"/>
      <c r="BY226" s="74"/>
      <c r="BZ226" s="74"/>
      <c r="CA226" s="74"/>
      <c r="CB226" s="74"/>
      <c r="CC226" s="74"/>
      <c r="CD226" s="74"/>
      <c r="CE226" s="74"/>
      <c r="CF226" s="74"/>
      <c r="CG226" s="74"/>
      <c r="CH226" s="74"/>
      <c r="CI226" s="74"/>
      <c r="CJ226" s="74"/>
      <c r="CK226" s="74"/>
      <c r="CL226" s="74"/>
      <c r="CM226" s="74"/>
      <c r="CN226" s="74"/>
      <c r="CO226" s="74"/>
      <c r="CP226" s="74"/>
      <c r="CQ226" s="74"/>
      <c r="CR226" s="74"/>
      <c r="CS226" s="74"/>
      <c r="CT226" s="74"/>
      <c r="CU226" s="74"/>
      <c r="CV226" s="74"/>
      <c r="CW226" s="74"/>
      <c r="CX226" s="74"/>
      <c r="CY226" s="74"/>
      <c r="CZ226" s="74"/>
      <c r="DA226" s="74"/>
      <c r="DB226" s="74"/>
      <c r="DC226" s="74"/>
    </row>
    <row r="227" spans="15:107" customFormat="1" x14ac:dyDescent="0.35">
      <c r="O227" s="76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74"/>
      <c r="BB227" s="74"/>
      <c r="BC227" s="74"/>
      <c r="BD227" s="74"/>
      <c r="BE227" s="74"/>
      <c r="BF227" s="74"/>
      <c r="BG227" s="74"/>
      <c r="BH227" s="74"/>
      <c r="BI227" s="74"/>
      <c r="BJ227" s="74"/>
      <c r="BK227" s="74"/>
      <c r="BL227" s="74"/>
      <c r="BM227" s="74"/>
      <c r="BN227" s="74"/>
      <c r="BO227" s="74"/>
      <c r="BP227" s="74"/>
      <c r="BQ227" s="74"/>
      <c r="BR227" s="74"/>
      <c r="BS227" s="74"/>
      <c r="BT227" s="74"/>
      <c r="BU227" s="74"/>
      <c r="BV227" s="74"/>
      <c r="BW227" s="74"/>
      <c r="BX227" s="74"/>
      <c r="BY227" s="74"/>
      <c r="BZ227" s="74"/>
      <c r="CA227" s="74"/>
      <c r="CB227" s="74"/>
      <c r="CC227" s="74"/>
      <c r="CD227" s="74"/>
      <c r="CE227" s="74"/>
      <c r="CF227" s="74"/>
      <c r="CG227" s="74"/>
      <c r="CH227" s="74"/>
      <c r="CI227" s="74"/>
      <c r="CJ227" s="74"/>
      <c r="CK227" s="74"/>
      <c r="CL227" s="74"/>
      <c r="CM227" s="74"/>
      <c r="CN227" s="74"/>
      <c r="CO227" s="74"/>
      <c r="CP227" s="74"/>
      <c r="CQ227" s="74"/>
      <c r="CR227" s="74"/>
      <c r="CS227" s="74"/>
      <c r="CT227" s="74"/>
      <c r="CU227" s="74"/>
      <c r="CV227" s="74"/>
      <c r="CW227" s="74"/>
      <c r="CX227" s="74"/>
      <c r="CY227" s="74"/>
      <c r="CZ227" s="74"/>
      <c r="DA227" s="74"/>
      <c r="DB227" s="74"/>
      <c r="DC227" s="74"/>
    </row>
    <row r="228" spans="15:107" customFormat="1" x14ac:dyDescent="0.35">
      <c r="O228" s="76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  <c r="BD228" s="74"/>
      <c r="BE228" s="74"/>
      <c r="BF228" s="74"/>
      <c r="BG228" s="74"/>
      <c r="BH228" s="74"/>
      <c r="BI228" s="74"/>
      <c r="BJ228" s="74"/>
      <c r="BK228" s="74"/>
      <c r="BL228" s="74"/>
      <c r="BM228" s="74"/>
      <c r="BN228" s="74"/>
      <c r="BO228" s="74"/>
      <c r="BP228" s="74"/>
      <c r="BQ228" s="74"/>
      <c r="BR228" s="74"/>
      <c r="BS228" s="74"/>
      <c r="BT228" s="74"/>
      <c r="BU228" s="74"/>
      <c r="BV228" s="74"/>
      <c r="BW228" s="74"/>
      <c r="BX228" s="74"/>
      <c r="BY228" s="74"/>
      <c r="BZ228" s="74"/>
      <c r="CA228" s="74"/>
      <c r="CB228" s="74"/>
      <c r="CC228" s="74"/>
      <c r="CD228" s="74"/>
      <c r="CE228" s="74"/>
      <c r="CF228" s="74"/>
      <c r="CG228" s="74"/>
      <c r="CH228" s="74"/>
      <c r="CI228" s="74"/>
      <c r="CJ228" s="74"/>
      <c r="CK228" s="74"/>
      <c r="CL228" s="74"/>
      <c r="CM228" s="74"/>
      <c r="CN228" s="74"/>
      <c r="CO228" s="74"/>
      <c r="CP228" s="74"/>
      <c r="CQ228" s="74"/>
      <c r="CR228" s="74"/>
      <c r="CS228" s="74"/>
      <c r="CT228" s="74"/>
      <c r="CU228" s="74"/>
      <c r="CV228" s="74"/>
      <c r="CW228" s="74"/>
      <c r="CX228" s="74"/>
      <c r="CY228" s="74"/>
      <c r="CZ228" s="74"/>
      <c r="DA228" s="74"/>
      <c r="DB228" s="74"/>
      <c r="DC228" s="74"/>
    </row>
    <row r="229" spans="15:107" customFormat="1" x14ac:dyDescent="0.35">
      <c r="O229" s="76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74"/>
      <c r="BM229" s="74"/>
      <c r="BN229" s="74"/>
      <c r="BO229" s="74"/>
      <c r="BP229" s="74"/>
      <c r="BQ229" s="74"/>
      <c r="BR229" s="74"/>
      <c r="BS229" s="74"/>
      <c r="BT229" s="74"/>
      <c r="BU229" s="74"/>
      <c r="BV229" s="74"/>
      <c r="BW229" s="74"/>
      <c r="BX229" s="74"/>
      <c r="BY229" s="74"/>
      <c r="BZ229" s="74"/>
      <c r="CA229" s="74"/>
      <c r="CB229" s="74"/>
      <c r="CC229" s="74"/>
      <c r="CD229" s="74"/>
      <c r="CE229" s="74"/>
      <c r="CF229" s="74"/>
      <c r="CG229" s="74"/>
      <c r="CH229" s="74"/>
      <c r="CI229" s="74"/>
      <c r="CJ229" s="74"/>
      <c r="CK229" s="74"/>
      <c r="CL229" s="74"/>
      <c r="CM229" s="74"/>
      <c r="CN229" s="74"/>
      <c r="CO229" s="74"/>
      <c r="CP229" s="74"/>
      <c r="CQ229" s="74"/>
      <c r="CR229" s="74"/>
      <c r="CS229" s="74"/>
      <c r="CT229" s="74"/>
      <c r="CU229" s="74"/>
      <c r="CV229" s="74"/>
      <c r="CW229" s="74"/>
      <c r="CX229" s="74"/>
      <c r="CY229" s="74"/>
      <c r="CZ229" s="74"/>
      <c r="DA229" s="74"/>
      <c r="DB229" s="74"/>
      <c r="DC229" s="74"/>
    </row>
    <row r="230" spans="15:107" customFormat="1" x14ac:dyDescent="0.35">
      <c r="O230" s="76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74"/>
      <c r="BM230" s="74"/>
      <c r="BN230" s="74"/>
      <c r="BO230" s="74"/>
      <c r="BP230" s="74"/>
      <c r="BQ230" s="74"/>
      <c r="BR230" s="74"/>
      <c r="BS230" s="74"/>
      <c r="BT230" s="74"/>
      <c r="BU230" s="74"/>
      <c r="BV230" s="74"/>
      <c r="BW230" s="74"/>
      <c r="BX230" s="74"/>
      <c r="BY230" s="74"/>
      <c r="BZ230" s="74"/>
      <c r="CA230" s="74"/>
      <c r="CB230" s="74"/>
      <c r="CC230" s="74"/>
      <c r="CD230" s="74"/>
      <c r="CE230" s="74"/>
      <c r="CF230" s="74"/>
      <c r="CG230" s="74"/>
      <c r="CH230" s="74"/>
      <c r="CI230" s="74"/>
      <c r="CJ230" s="74"/>
      <c r="CK230" s="74"/>
      <c r="CL230" s="74"/>
      <c r="CM230" s="74"/>
      <c r="CN230" s="74"/>
      <c r="CO230" s="74"/>
      <c r="CP230" s="74"/>
      <c r="CQ230" s="74"/>
      <c r="CR230" s="74"/>
      <c r="CS230" s="74"/>
      <c r="CT230" s="74"/>
      <c r="CU230" s="74"/>
      <c r="CV230" s="74"/>
      <c r="CW230" s="74"/>
      <c r="CX230" s="74"/>
      <c r="CY230" s="74"/>
      <c r="CZ230" s="74"/>
      <c r="DA230" s="74"/>
      <c r="DB230" s="74"/>
      <c r="DC230" s="74"/>
    </row>
    <row r="231" spans="15:107" customFormat="1" x14ac:dyDescent="0.35">
      <c r="O231" s="76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74"/>
      <c r="BM231" s="74"/>
      <c r="BN231" s="74"/>
      <c r="BO231" s="74"/>
      <c r="BP231" s="74"/>
      <c r="BQ231" s="74"/>
      <c r="BR231" s="74"/>
      <c r="BS231" s="74"/>
      <c r="BT231" s="74"/>
      <c r="BU231" s="74"/>
      <c r="BV231" s="74"/>
      <c r="BW231" s="74"/>
      <c r="BX231" s="74"/>
      <c r="BY231" s="74"/>
      <c r="BZ231" s="74"/>
      <c r="CA231" s="74"/>
      <c r="CB231" s="74"/>
      <c r="CC231" s="74"/>
      <c r="CD231" s="74"/>
      <c r="CE231" s="74"/>
      <c r="CF231" s="74"/>
      <c r="CG231" s="74"/>
      <c r="CH231" s="74"/>
      <c r="CI231" s="74"/>
      <c r="CJ231" s="74"/>
      <c r="CK231" s="74"/>
      <c r="CL231" s="74"/>
      <c r="CM231" s="74"/>
      <c r="CN231" s="74"/>
      <c r="CO231" s="74"/>
      <c r="CP231" s="74"/>
      <c r="CQ231" s="74"/>
      <c r="CR231" s="74"/>
      <c r="CS231" s="74"/>
      <c r="CT231" s="74"/>
      <c r="CU231" s="74"/>
      <c r="CV231" s="74"/>
      <c r="CW231" s="74"/>
      <c r="CX231" s="74"/>
      <c r="CY231" s="74"/>
      <c r="CZ231" s="74"/>
      <c r="DA231" s="74"/>
      <c r="DB231" s="74"/>
      <c r="DC231" s="74"/>
    </row>
    <row r="232" spans="15:107" customFormat="1" x14ac:dyDescent="0.35">
      <c r="O232" s="76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74"/>
      <c r="BM232" s="74"/>
      <c r="BN232" s="74"/>
      <c r="BO232" s="74"/>
      <c r="BP232" s="74"/>
      <c r="BQ232" s="74"/>
      <c r="BR232" s="74"/>
      <c r="BS232" s="74"/>
      <c r="BT232" s="74"/>
      <c r="BU232" s="74"/>
      <c r="BV232" s="74"/>
      <c r="BW232" s="74"/>
      <c r="BX232" s="74"/>
      <c r="BY232" s="74"/>
      <c r="BZ232" s="74"/>
      <c r="CA232" s="74"/>
      <c r="CB232" s="74"/>
      <c r="CC232" s="74"/>
      <c r="CD232" s="74"/>
      <c r="CE232" s="74"/>
      <c r="CF232" s="74"/>
      <c r="CG232" s="74"/>
      <c r="CH232" s="74"/>
      <c r="CI232" s="74"/>
      <c r="CJ232" s="74"/>
      <c r="CK232" s="74"/>
      <c r="CL232" s="74"/>
      <c r="CM232" s="74"/>
      <c r="CN232" s="74"/>
      <c r="CO232" s="74"/>
      <c r="CP232" s="74"/>
      <c r="CQ232" s="74"/>
      <c r="CR232" s="74"/>
      <c r="CS232" s="74"/>
      <c r="CT232" s="74"/>
      <c r="CU232" s="74"/>
      <c r="CV232" s="74"/>
      <c r="CW232" s="74"/>
      <c r="CX232" s="74"/>
      <c r="CY232" s="74"/>
      <c r="CZ232" s="74"/>
      <c r="DA232" s="74"/>
      <c r="DB232" s="74"/>
      <c r="DC232" s="74"/>
    </row>
    <row r="233" spans="15:107" customFormat="1" x14ac:dyDescent="0.35">
      <c r="O233" s="76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  <c r="AZ233" s="74"/>
      <c r="BA233" s="74"/>
      <c r="BB233" s="74"/>
      <c r="BC233" s="74"/>
      <c r="BD233" s="74"/>
      <c r="BE233" s="74"/>
      <c r="BF233" s="74"/>
      <c r="BG233" s="74"/>
      <c r="BH233" s="74"/>
      <c r="BI233" s="74"/>
      <c r="BJ233" s="74"/>
      <c r="BK233" s="74"/>
      <c r="BL233" s="74"/>
      <c r="BM233" s="74"/>
      <c r="BN233" s="74"/>
      <c r="BO233" s="74"/>
      <c r="BP233" s="74"/>
      <c r="BQ233" s="74"/>
      <c r="BR233" s="74"/>
      <c r="BS233" s="74"/>
      <c r="BT233" s="74"/>
      <c r="BU233" s="74"/>
      <c r="BV233" s="74"/>
      <c r="BW233" s="74"/>
      <c r="BX233" s="74"/>
      <c r="BY233" s="74"/>
      <c r="BZ233" s="74"/>
      <c r="CA233" s="74"/>
      <c r="CB233" s="74"/>
      <c r="CC233" s="74"/>
      <c r="CD233" s="74"/>
      <c r="CE233" s="74"/>
      <c r="CF233" s="74"/>
      <c r="CG233" s="74"/>
      <c r="CH233" s="74"/>
      <c r="CI233" s="74"/>
      <c r="CJ233" s="74"/>
      <c r="CK233" s="74"/>
      <c r="CL233" s="74"/>
      <c r="CM233" s="74"/>
      <c r="CN233" s="74"/>
      <c r="CO233" s="74"/>
      <c r="CP233" s="74"/>
      <c r="CQ233" s="74"/>
      <c r="CR233" s="74"/>
      <c r="CS233" s="74"/>
      <c r="CT233" s="74"/>
      <c r="CU233" s="74"/>
      <c r="CV233" s="74"/>
      <c r="CW233" s="74"/>
      <c r="CX233" s="74"/>
      <c r="CY233" s="74"/>
      <c r="CZ233" s="74"/>
      <c r="DA233" s="74"/>
      <c r="DB233" s="74"/>
      <c r="DC233" s="74"/>
    </row>
    <row r="234" spans="15:107" customFormat="1" x14ac:dyDescent="0.35">
      <c r="O234" s="76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  <c r="AZ234" s="74"/>
      <c r="BA234" s="74"/>
      <c r="BB234" s="74"/>
      <c r="BC234" s="74"/>
      <c r="BD234" s="74"/>
      <c r="BE234" s="74"/>
      <c r="BF234" s="74"/>
      <c r="BG234" s="74"/>
      <c r="BH234" s="74"/>
      <c r="BI234" s="74"/>
      <c r="BJ234" s="74"/>
      <c r="BK234" s="74"/>
      <c r="BL234" s="74"/>
      <c r="BM234" s="74"/>
      <c r="BN234" s="74"/>
      <c r="BO234" s="74"/>
      <c r="BP234" s="74"/>
      <c r="BQ234" s="74"/>
      <c r="BR234" s="74"/>
      <c r="BS234" s="74"/>
      <c r="BT234" s="74"/>
      <c r="BU234" s="74"/>
      <c r="BV234" s="74"/>
      <c r="BW234" s="74"/>
      <c r="BX234" s="74"/>
      <c r="BY234" s="74"/>
      <c r="BZ234" s="74"/>
      <c r="CA234" s="74"/>
      <c r="CB234" s="74"/>
      <c r="CC234" s="74"/>
      <c r="CD234" s="74"/>
      <c r="CE234" s="74"/>
      <c r="CF234" s="74"/>
      <c r="CG234" s="74"/>
      <c r="CH234" s="74"/>
      <c r="CI234" s="74"/>
      <c r="CJ234" s="74"/>
      <c r="CK234" s="74"/>
      <c r="CL234" s="74"/>
      <c r="CM234" s="74"/>
      <c r="CN234" s="74"/>
      <c r="CO234" s="74"/>
      <c r="CP234" s="74"/>
      <c r="CQ234" s="74"/>
      <c r="CR234" s="74"/>
      <c r="CS234" s="74"/>
      <c r="CT234" s="74"/>
      <c r="CU234" s="74"/>
      <c r="CV234" s="74"/>
      <c r="CW234" s="74"/>
      <c r="CX234" s="74"/>
      <c r="CY234" s="74"/>
      <c r="CZ234" s="74"/>
      <c r="DA234" s="74"/>
      <c r="DB234" s="74"/>
      <c r="DC234" s="74"/>
    </row>
    <row r="235" spans="15:107" customFormat="1" x14ac:dyDescent="0.35">
      <c r="O235" s="76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  <c r="BD235" s="74"/>
      <c r="BE235" s="74"/>
      <c r="BF235" s="74"/>
      <c r="BG235" s="74"/>
      <c r="BH235" s="74"/>
      <c r="BI235" s="74"/>
      <c r="BJ235" s="74"/>
      <c r="BK235" s="74"/>
      <c r="BL235" s="74"/>
      <c r="BM235" s="74"/>
      <c r="BN235" s="74"/>
      <c r="BO235" s="74"/>
      <c r="BP235" s="74"/>
      <c r="BQ235" s="74"/>
      <c r="BR235" s="74"/>
      <c r="BS235" s="74"/>
      <c r="BT235" s="74"/>
      <c r="BU235" s="74"/>
      <c r="BV235" s="74"/>
      <c r="BW235" s="74"/>
      <c r="BX235" s="74"/>
      <c r="BY235" s="74"/>
      <c r="BZ235" s="74"/>
      <c r="CA235" s="74"/>
      <c r="CB235" s="74"/>
      <c r="CC235" s="74"/>
      <c r="CD235" s="74"/>
      <c r="CE235" s="74"/>
      <c r="CF235" s="74"/>
      <c r="CG235" s="74"/>
      <c r="CH235" s="74"/>
      <c r="CI235" s="74"/>
      <c r="CJ235" s="74"/>
      <c r="CK235" s="74"/>
      <c r="CL235" s="74"/>
      <c r="CM235" s="74"/>
      <c r="CN235" s="74"/>
      <c r="CO235" s="74"/>
      <c r="CP235" s="74"/>
      <c r="CQ235" s="74"/>
      <c r="CR235" s="74"/>
      <c r="CS235" s="74"/>
      <c r="CT235" s="74"/>
      <c r="CU235" s="74"/>
      <c r="CV235" s="74"/>
      <c r="CW235" s="74"/>
      <c r="CX235" s="74"/>
      <c r="CY235" s="74"/>
      <c r="CZ235" s="74"/>
      <c r="DA235" s="74"/>
      <c r="DB235" s="74"/>
      <c r="DC235" s="74"/>
    </row>
    <row r="236" spans="15:107" customFormat="1" x14ac:dyDescent="0.35">
      <c r="O236" s="76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/>
      <c r="BE236" s="74"/>
      <c r="BF236" s="74"/>
      <c r="BG236" s="74"/>
      <c r="BH236" s="74"/>
      <c r="BI236" s="74"/>
      <c r="BJ236" s="74"/>
      <c r="BK236" s="74"/>
      <c r="BL236" s="74"/>
      <c r="BM236" s="74"/>
      <c r="BN236" s="74"/>
      <c r="BO236" s="74"/>
      <c r="BP236" s="74"/>
      <c r="BQ236" s="74"/>
      <c r="BR236" s="74"/>
      <c r="BS236" s="74"/>
      <c r="BT236" s="74"/>
      <c r="BU236" s="74"/>
      <c r="BV236" s="74"/>
      <c r="BW236" s="74"/>
      <c r="BX236" s="74"/>
      <c r="BY236" s="74"/>
      <c r="BZ236" s="74"/>
      <c r="CA236" s="74"/>
      <c r="CB236" s="74"/>
      <c r="CC236" s="74"/>
      <c r="CD236" s="74"/>
      <c r="CE236" s="74"/>
      <c r="CF236" s="74"/>
      <c r="CG236" s="74"/>
      <c r="CH236" s="74"/>
      <c r="CI236" s="74"/>
      <c r="CJ236" s="74"/>
      <c r="CK236" s="74"/>
      <c r="CL236" s="74"/>
      <c r="CM236" s="74"/>
      <c r="CN236" s="74"/>
      <c r="CO236" s="74"/>
      <c r="CP236" s="74"/>
      <c r="CQ236" s="74"/>
      <c r="CR236" s="74"/>
      <c r="CS236" s="74"/>
      <c r="CT236" s="74"/>
      <c r="CU236" s="74"/>
      <c r="CV236" s="74"/>
      <c r="CW236" s="74"/>
      <c r="CX236" s="74"/>
      <c r="CY236" s="74"/>
      <c r="CZ236" s="74"/>
      <c r="DA236" s="74"/>
      <c r="DB236" s="74"/>
      <c r="DC236" s="74"/>
    </row>
    <row r="237" spans="15:107" customFormat="1" x14ac:dyDescent="0.35">
      <c r="O237" s="76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  <c r="BD237" s="74"/>
      <c r="BE237" s="74"/>
      <c r="BF237" s="74"/>
      <c r="BG237" s="74"/>
      <c r="BH237" s="74"/>
      <c r="BI237" s="74"/>
      <c r="BJ237" s="74"/>
      <c r="BK237" s="74"/>
      <c r="BL237" s="74"/>
      <c r="BM237" s="74"/>
      <c r="BN237" s="74"/>
      <c r="BO237" s="74"/>
      <c r="BP237" s="74"/>
      <c r="BQ237" s="74"/>
      <c r="BR237" s="74"/>
      <c r="BS237" s="74"/>
      <c r="BT237" s="74"/>
      <c r="BU237" s="74"/>
      <c r="BV237" s="74"/>
      <c r="BW237" s="74"/>
      <c r="BX237" s="74"/>
      <c r="BY237" s="74"/>
      <c r="BZ237" s="74"/>
      <c r="CA237" s="74"/>
      <c r="CB237" s="74"/>
      <c r="CC237" s="74"/>
      <c r="CD237" s="74"/>
      <c r="CE237" s="74"/>
      <c r="CF237" s="74"/>
      <c r="CG237" s="74"/>
      <c r="CH237" s="74"/>
      <c r="CI237" s="74"/>
      <c r="CJ237" s="74"/>
      <c r="CK237" s="74"/>
      <c r="CL237" s="74"/>
      <c r="CM237" s="74"/>
      <c r="CN237" s="74"/>
      <c r="CO237" s="74"/>
      <c r="CP237" s="74"/>
      <c r="CQ237" s="74"/>
      <c r="CR237" s="74"/>
      <c r="CS237" s="74"/>
      <c r="CT237" s="74"/>
      <c r="CU237" s="74"/>
      <c r="CV237" s="74"/>
      <c r="CW237" s="74"/>
      <c r="CX237" s="74"/>
      <c r="CY237" s="74"/>
      <c r="CZ237" s="74"/>
      <c r="DA237" s="74"/>
      <c r="DB237" s="74"/>
      <c r="DC237" s="74"/>
    </row>
    <row r="238" spans="15:107" customFormat="1" x14ac:dyDescent="0.35">
      <c r="O238" s="76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  <c r="BA238" s="74"/>
      <c r="BB238" s="74"/>
      <c r="BC238" s="74"/>
      <c r="BD238" s="74"/>
      <c r="BE238" s="74"/>
      <c r="BF238" s="74"/>
      <c r="BG238" s="74"/>
      <c r="BH238" s="74"/>
      <c r="BI238" s="74"/>
      <c r="BJ238" s="74"/>
      <c r="BK238" s="74"/>
      <c r="BL238" s="74"/>
      <c r="BM238" s="74"/>
      <c r="BN238" s="74"/>
      <c r="BO238" s="74"/>
      <c r="BP238" s="74"/>
      <c r="BQ238" s="74"/>
      <c r="BR238" s="74"/>
      <c r="BS238" s="74"/>
      <c r="BT238" s="74"/>
      <c r="BU238" s="74"/>
      <c r="BV238" s="74"/>
      <c r="BW238" s="74"/>
      <c r="BX238" s="74"/>
      <c r="BY238" s="74"/>
      <c r="BZ238" s="74"/>
      <c r="CA238" s="74"/>
      <c r="CB238" s="74"/>
      <c r="CC238" s="74"/>
      <c r="CD238" s="74"/>
      <c r="CE238" s="74"/>
      <c r="CF238" s="74"/>
      <c r="CG238" s="74"/>
      <c r="CH238" s="74"/>
      <c r="CI238" s="74"/>
      <c r="CJ238" s="74"/>
      <c r="CK238" s="74"/>
      <c r="CL238" s="74"/>
      <c r="CM238" s="74"/>
      <c r="CN238" s="74"/>
      <c r="CO238" s="74"/>
      <c r="CP238" s="74"/>
      <c r="CQ238" s="74"/>
      <c r="CR238" s="74"/>
      <c r="CS238" s="74"/>
      <c r="CT238" s="74"/>
      <c r="CU238" s="74"/>
      <c r="CV238" s="74"/>
      <c r="CW238" s="74"/>
      <c r="CX238" s="74"/>
      <c r="CY238" s="74"/>
      <c r="CZ238" s="74"/>
      <c r="DA238" s="74"/>
      <c r="DB238" s="74"/>
      <c r="DC238" s="74"/>
    </row>
    <row r="239" spans="15:107" customFormat="1" x14ac:dyDescent="0.35">
      <c r="O239" s="76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  <c r="BD239" s="74"/>
      <c r="BE239" s="74"/>
      <c r="BF239" s="74"/>
      <c r="BG239" s="74"/>
      <c r="BH239" s="74"/>
      <c r="BI239" s="74"/>
      <c r="BJ239" s="74"/>
      <c r="BK239" s="74"/>
      <c r="BL239" s="74"/>
      <c r="BM239" s="74"/>
      <c r="BN239" s="74"/>
      <c r="BO239" s="74"/>
      <c r="BP239" s="74"/>
      <c r="BQ239" s="74"/>
      <c r="BR239" s="74"/>
      <c r="BS239" s="74"/>
      <c r="BT239" s="74"/>
      <c r="BU239" s="74"/>
      <c r="BV239" s="74"/>
      <c r="BW239" s="74"/>
      <c r="BX239" s="74"/>
      <c r="BY239" s="74"/>
      <c r="BZ239" s="74"/>
      <c r="CA239" s="74"/>
      <c r="CB239" s="74"/>
      <c r="CC239" s="74"/>
      <c r="CD239" s="74"/>
      <c r="CE239" s="74"/>
      <c r="CF239" s="74"/>
      <c r="CG239" s="74"/>
      <c r="CH239" s="74"/>
      <c r="CI239" s="74"/>
      <c r="CJ239" s="74"/>
      <c r="CK239" s="74"/>
      <c r="CL239" s="74"/>
      <c r="CM239" s="74"/>
      <c r="CN239" s="74"/>
      <c r="CO239" s="74"/>
      <c r="CP239" s="74"/>
      <c r="CQ239" s="74"/>
      <c r="CR239" s="74"/>
      <c r="CS239" s="74"/>
      <c r="CT239" s="74"/>
      <c r="CU239" s="74"/>
      <c r="CV239" s="74"/>
      <c r="CW239" s="74"/>
      <c r="CX239" s="74"/>
      <c r="CY239" s="74"/>
      <c r="CZ239" s="74"/>
      <c r="DA239" s="74"/>
      <c r="DB239" s="74"/>
      <c r="DC239" s="74"/>
    </row>
    <row r="240" spans="15:107" customFormat="1" x14ac:dyDescent="0.35">
      <c r="O240" s="76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  <c r="BD240" s="74"/>
      <c r="BE240" s="74"/>
      <c r="BF240" s="74"/>
      <c r="BG240" s="74"/>
      <c r="BH240" s="74"/>
      <c r="BI240" s="74"/>
      <c r="BJ240" s="74"/>
      <c r="BK240" s="74"/>
      <c r="BL240" s="74"/>
      <c r="BM240" s="74"/>
      <c r="BN240" s="74"/>
      <c r="BO240" s="74"/>
      <c r="BP240" s="74"/>
      <c r="BQ240" s="74"/>
      <c r="BR240" s="74"/>
      <c r="BS240" s="74"/>
      <c r="BT240" s="74"/>
      <c r="BU240" s="74"/>
      <c r="BV240" s="74"/>
      <c r="BW240" s="74"/>
      <c r="BX240" s="74"/>
      <c r="BY240" s="74"/>
      <c r="BZ240" s="74"/>
      <c r="CA240" s="74"/>
      <c r="CB240" s="74"/>
      <c r="CC240" s="74"/>
      <c r="CD240" s="74"/>
      <c r="CE240" s="74"/>
      <c r="CF240" s="74"/>
      <c r="CG240" s="74"/>
      <c r="CH240" s="74"/>
      <c r="CI240" s="74"/>
      <c r="CJ240" s="74"/>
      <c r="CK240" s="74"/>
      <c r="CL240" s="74"/>
      <c r="CM240" s="74"/>
      <c r="CN240" s="74"/>
      <c r="CO240" s="74"/>
      <c r="CP240" s="74"/>
      <c r="CQ240" s="74"/>
      <c r="CR240" s="74"/>
      <c r="CS240" s="74"/>
      <c r="CT240" s="74"/>
      <c r="CU240" s="74"/>
      <c r="CV240" s="74"/>
      <c r="CW240" s="74"/>
      <c r="CX240" s="74"/>
      <c r="CY240" s="74"/>
      <c r="CZ240" s="74"/>
      <c r="DA240" s="74"/>
      <c r="DB240" s="74"/>
      <c r="DC240" s="74"/>
    </row>
    <row r="241" spans="15:107" customFormat="1" x14ac:dyDescent="0.35">
      <c r="O241" s="76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74"/>
      <c r="BM241" s="74"/>
      <c r="BN241" s="74"/>
      <c r="BO241" s="74"/>
      <c r="BP241" s="74"/>
      <c r="BQ241" s="74"/>
      <c r="BR241" s="74"/>
      <c r="BS241" s="74"/>
      <c r="BT241" s="74"/>
      <c r="BU241" s="74"/>
      <c r="BV241" s="74"/>
      <c r="BW241" s="74"/>
      <c r="BX241" s="74"/>
      <c r="BY241" s="74"/>
      <c r="BZ241" s="74"/>
      <c r="CA241" s="74"/>
      <c r="CB241" s="74"/>
      <c r="CC241" s="74"/>
      <c r="CD241" s="74"/>
      <c r="CE241" s="74"/>
      <c r="CF241" s="74"/>
      <c r="CG241" s="74"/>
      <c r="CH241" s="74"/>
      <c r="CI241" s="74"/>
      <c r="CJ241" s="74"/>
      <c r="CK241" s="74"/>
      <c r="CL241" s="74"/>
      <c r="CM241" s="74"/>
      <c r="CN241" s="74"/>
      <c r="CO241" s="74"/>
      <c r="CP241" s="74"/>
      <c r="CQ241" s="74"/>
      <c r="CR241" s="74"/>
      <c r="CS241" s="74"/>
      <c r="CT241" s="74"/>
      <c r="CU241" s="74"/>
      <c r="CV241" s="74"/>
      <c r="CW241" s="74"/>
      <c r="CX241" s="74"/>
      <c r="CY241" s="74"/>
      <c r="CZ241" s="74"/>
      <c r="DA241" s="74"/>
      <c r="DB241" s="74"/>
      <c r="DC241" s="74"/>
    </row>
    <row r="242" spans="15:107" customFormat="1" x14ac:dyDescent="0.35">
      <c r="O242" s="76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74"/>
      <c r="BM242" s="74"/>
      <c r="BN242" s="74"/>
      <c r="BO242" s="74"/>
      <c r="BP242" s="74"/>
      <c r="BQ242" s="74"/>
      <c r="BR242" s="74"/>
      <c r="BS242" s="74"/>
      <c r="BT242" s="74"/>
      <c r="BU242" s="74"/>
      <c r="BV242" s="74"/>
      <c r="BW242" s="74"/>
      <c r="BX242" s="74"/>
      <c r="BY242" s="74"/>
      <c r="BZ242" s="74"/>
      <c r="CA242" s="74"/>
      <c r="CB242" s="74"/>
      <c r="CC242" s="74"/>
      <c r="CD242" s="74"/>
      <c r="CE242" s="74"/>
      <c r="CF242" s="74"/>
      <c r="CG242" s="74"/>
      <c r="CH242" s="74"/>
      <c r="CI242" s="74"/>
      <c r="CJ242" s="74"/>
      <c r="CK242" s="74"/>
      <c r="CL242" s="74"/>
      <c r="CM242" s="74"/>
      <c r="CN242" s="74"/>
      <c r="CO242" s="74"/>
      <c r="CP242" s="74"/>
      <c r="CQ242" s="74"/>
      <c r="CR242" s="74"/>
      <c r="CS242" s="74"/>
      <c r="CT242" s="74"/>
      <c r="CU242" s="74"/>
      <c r="CV242" s="74"/>
      <c r="CW242" s="74"/>
      <c r="CX242" s="74"/>
      <c r="CY242" s="74"/>
      <c r="CZ242" s="74"/>
      <c r="DA242" s="74"/>
      <c r="DB242" s="74"/>
      <c r="DC242" s="74"/>
    </row>
    <row r="243" spans="15:107" customFormat="1" x14ac:dyDescent="0.35">
      <c r="O243" s="76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74"/>
      <c r="BM243" s="74"/>
      <c r="BN243" s="74"/>
      <c r="BO243" s="74"/>
      <c r="BP243" s="74"/>
      <c r="BQ243" s="74"/>
      <c r="BR243" s="74"/>
      <c r="BS243" s="74"/>
      <c r="BT243" s="74"/>
      <c r="BU243" s="74"/>
      <c r="BV243" s="74"/>
      <c r="BW243" s="74"/>
      <c r="BX243" s="74"/>
      <c r="BY243" s="74"/>
      <c r="BZ243" s="74"/>
      <c r="CA243" s="74"/>
      <c r="CB243" s="74"/>
      <c r="CC243" s="74"/>
      <c r="CD243" s="74"/>
      <c r="CE243" s="74"/>
      <c r="CF243" s="74"/>
      <c r="CG243" s="74"/>
      <c r="CH243" s="74"/>
      <c r="CI243" s="74"/>
      <c r="CJ243" s="74"/>
      <c r="CK243" s="74"/>
      <c r="CL243" s="74"/>
      <c r="CM243" s="74"/>
      <c r="CN243" s="74"/>
      <c r="CO243" s="74"/>
      <c r="CP243" s="74"/>
      <c r="CQ243" s="74"/>
      <c r="CR243" s="74"/>
      <c r="CS243" s="74"/>
      <c r="CT243" s="74"/>
      <c r="CU243" s="74"/>
      <c r="CV243" s="74"/>
      <c r="CW243" s="74"/>
      <c r="CX243" s="74"/>
      <c r="CY243" s="74"/>
      <c r="CZ243" s="74"/>
      <c r="DA243" s="74"/>
      <c r="DB243" s="74"/>
      <c r="DC243" s="74"/>
    </row>
    <row r="244" spans="15:107" customFormat="1" x14ac:dyDescent="0.35">
      <c r="O244" s="76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74"/>
      <c r="BM244" s="74"/>
      <c r="BN244" s="74"/>
      <c r="BO244" s="74"/>
      <c r="BP244" s="74"/>
      <c r="BQ244" s="74"/>
      <c r="BR244" s="74"/>
      <c r="BS244" s="74"/>
      <c r="BT244" s="74"/>
      <c r="BU244" s="74"/>
      <c r="BV244" s="74"/>
      <c r="BW244" s="74"/>
      <c r="BX244" s="74"/>
      <c r="BY244" s="74"/>
      <c r="BZ244" s="74"/>
      <c r="CA244" s="74"/>
      <c r="CB244" s="74"/>
      <c r="CC244" s="74"/>
      <c r="CD244" s="74"/>
      <c r="CE244" s="74"/>
      <c r="CF244" s="74"/>
      <c r="CG244" s="74"/>
      <c r="CH244" s="74"/>
      <c r="CI244" s="74"/>
      <c r="CJ244" s="74"/>
      <c r="CK244" s="74"/>
      <c r="CL244" s="74"/>
      <c r="CM244" s="74"/>
      <c r="CN244" s="74"/>
      <c r="CO244" s="74"/>
      <c r="CP244" s="74"/>
      <c r="CQ244" s="74"/>
      <c r="CR244" s="74"/>
      <c r="CS244" s="74"/>
      <c r="CT244" s="74"/>
      <c r="CU244" s="74"/>
      <c r="CV244" s="74"/>
      <c r="CW244" s="74"/>
      <c r="CX244" s="74"/>
      <c r="CY244" s="74"/>
      <c r="CZ244" s="74"/>
      <c r="DA244" s="74"/>
      <c r="DB244" s="74"/>
      <c r="DC244" s="74"/>
    </row>
    <row r="245" spans="15:107" customFormat="1" x14ac:dyDescent="0.35">
      <c r="O245" s="76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  <c r="BD245" s="74"/>
      <c r="BE245" s="74"/>
      <c r="BF245" s="74"/>
      <c r="BG245" s="74"/>
      <c r="BH245" s="74"/>
      <c r="BI245" s="74"/>
      <c r="BJ245" s="74"/>
      <c r="BK245" s="74"/>
      <c r="BL245" s="74"/>
      <c r="BM245" s="74"/>
      <c r="BN245" s="74"/>
      <c r="BO245" s="74"/>
      <c r="BP245" s="74"/>
      <c r="BQ245" s="74"/>
      <c r="BR245" s="74"/>
      <c r="BS245" s="74"/>
      <c r="BT245" s="74"/>
      <c r="BU245" s="74"/>
      <c r="BV245" s="74"/>
      <c r="BW245" s="74"/>
      <c r="BX245" s="74"/>
      <c r="BY245" s="74"/>
      <c r="BZ245" s="74"/>
      <c r="CA245" s="74"/>
      <c r="CB245" s="74"/>
      <c r="CC245" s="74"/>
      <c r="CD245" s="74"/>
      <c r="CE245" s="74"/>
      <c r="CF245" s="74"/>
      <c r="CG245" s="74"/>
      <c r="CH245" s="74"/>
      <c r="CI245" s="74"/>
      <c r="CJ245" s="74"/>
      <c r="CK245" s="74"/>
      <c r="CL245" s="74"/>
      <c r="CM245" s="74"/>
      <c r="CN245" s="74"/>
      <c r="CO245" s="74"/>
      <c r="CP245" s="74"/>
      <c r="CQ245" s="74"/>
      <c r="CR245" s="74"/>
      <c r="CS245" s="74"/>
      <c r="CT245" s="74"/>
      <c r="CU245" s="74"/>
      <c r="CV245" s="74"/>
      <c r="CW245" s="74"/>
      <c r="CX245" s="74"/>
      <c r="CY245" s="74"/>
      <c r="CZ245" s="74"/>
      <c r="DA245" s="74"/>
      <c r="DB245" s="74"/>
      <c r="DC245" s="74"/>
    </row>
    <row r="246" spans="15:107" customFormat="1" x14ac:dyDescent="0.35">
      <c r="O246" s="76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74"/>
      <c r="BM246" s="74"/>
      <c r="BN246" s="74"/>
      <c r="BO246" s="74"/>
      <c r="BP246" s="74"/>
      <c r="BQ246" s="74"/>
      <c r="BR246" s="74"/>
      <c r="BS246" s="74"/>
      <c r="BT246" s="74"/>
      <c r="BU246" s="74"/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/>
      <c r="CP246" s="74"/>
      <c r="CQ246" s="74"/>
      <c r="CR246" s="74"/>
      <c r="CS246" s="74"/>
      <c r="CT246" s="74"/>
      <c r="CU246" s="74"/>
      <c r="CV246" s="74"/>
      <c r="CW246" s="74"/>
      <c r="CX246" s="74"/>
      <c r="CY246" s="74"/>
      <c r="CZ246" s="74"/>
      <c r="DA246" s="74"/>
      <c r="DB246" s="74"/>
      <c r="DC246" s="74"/>
    </row>
    <row r="247" spans="15:107" customFormat="1" x14ac:dyDescent="0.35">
      <c r="O247" s="76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74"/>
      <c r="BM247" s="74"/>
      <c r="BN247" s="74"/>
      <c r="BO247" s="74"/>
      <c r="BP247" s="74"/>
      <c r="BQ247" s="74"/>
      <c r="BR247" s="74"/>
      <c r="BS247" s="74"/>
      <c r="BT247" s="74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74"/>
      <c r="CU247" s="74"/>
      <c r="CV247" s="74"/>
      <c r="CW247" s="74"/>
      <c r="CX247" s="74"/>
      <c r="CY247" s="74"/>
      <c r="CZ247" s="74"/>
      <c r="DA247" s="74"/>
      <c r="DB247" s="74"/>
      <c r="DC247" s="74"/>
    </row>
    <row r="248" spans="15:107" customFormat="1" x14ac:dyDescent="0.35">
      <c r="O248" s="76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74"/>
      <c r="BM248" s="74"/>
      <c r="BN248" s="74"/>
      <c r="BO248" s="74"/>
      <c r="BP248" s="74"/>
      <c r="BQ248" s="74"/>
      <c r="BR248" s="74"/>
      <c r="BS248" s="74"/>
      <c r="BT248" s="74"/>
      <c r="BU248" s="74"/>
      <c r="BV248" s="74"/>
      <c r="BW248" s="74"/>
      <c r="BX248" s="74"/>
      <c r="BY248" s="74"/>
      <c r="BZ248" s="74"/>
      <c r="CA248" s="74"/>
      <c r="CB248" s="74"/>
      <c r="CC248" s="74"/>
      <c r="CD248" s="74"/>
      <c r="CE248" s="74"/>
      <c r="CF248" s="74"/>
      <c r="CG248" s="74"/>
      <c r="CH248" s="74"/>
      <c r="CI248" s="74"/>
      <c r="CJ248" s="74"/>
      <c r="CK248" s="74"/>
      <c r="CL248" s="74"/>
      <c r="CM248" s="74"/>
      <c r="CN248" s="74"/>
      <c r="CO248" s="74"/>
      <c r="CP248" s="74"/>
      <c r="CQ248" s="74"/>
      <c r="CR248" s="74"/>
      <c r="CS248" s="74"/>
      <c r="CT248" s="74"/>
      <c r="CU248" s="74"/>
      <c r="CV248" s="74"/>
      <c r="CW248" s="74"/>
      <c r="CX248" s="74"/>
      <c r="CY248" s="74"/>
      <c r="CZ248" s="74"/>
      <c r="DA248" s="74"/>
      <c r="DB248" s="74"/>
      <c r="DC248" s="74"/>
    </row>
    <row r="249" spans="15:107" customFormat="1" x14ac:dyDescent="0.35">
      <c r="O249" s="76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74"/>
      <c r="BM249" s="74"/>
      <c r="BN249" s="74"/>
      <c r="BO249" s="74"/>
      <c r="BP249" s="74"/>
      <c r="BQ249" s="74"/>
      <c r="BR249" s="74"/>
      <c r="BS249" s="74"/>
      <c r="BT249" s="74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74"/>
      <c r="CU249" s="74"/>
      <c r="CV249" s="74"/>
      <c r="CW249" s="74"/>
      <c r="CX249" s="74"/>
      <c r="CY249" s="74"/>
      <c r="CZ249" s="74"/>
      <c r="DA249" s="74"/>
      <c r="DB249" s="74"/>
      <c r="DC249" s="74"/>
    </row>
    <row r="250" spans="15:107" customFormat="1" x14ac:dyDescent="0.35">
      <c r="O250" s="76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74"/>
      <c r="CU250" s="74"/>
      <c r="CV250" s="74"/>
      <c r="CW250" s="74"/>
      <c r="CX250" s="74"/>
      <c r="CY250" s="74"/>
      <c r="CZ250" s="74"/>
      <c r="DA250" s="74"/>
      <c r="DB250" s="74"/>
      <c r="DC250" s="74"/>
    </row>
    <row r="251" spans="15:107" customFormat="1" x14ac:dyDescent="0.35">
      <c r="O251" s="76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74"/>
      <c r="CU251" s="74"/>
      <c r="CV251" s="74"/>
      <c r="CW251" s="74"/>
      <c r="CX251" s="74"/>
      <c r="CY251" s="74"/>
      <c r="CZ251" s="74"/>
      <c r="DA251" s="74"/>
      <c r="DB251" s="74"/>
      <c r="DC251" s="74"/>
    </row>
    <row r="252" spans="15:107" customFormat="1" x14ac:dyDescent="0.35">
      <c r="O252" s="76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74"/>
      <c r="CU252" s="74"/>
      <c r="CV252" s="74"/>
      <c r="CW252" s="74"/>
      <c r="CX252" s="74"/>
      <c r="CY252" s="74"/>
      <c r="CZ252" s="74"/>
      <c r="DA252" s="74"/>
      <c r="DB252" s="74"/>
      <c r="DC252" s="74"/>
    </row>
    <row r="253" spans="15:107" customFormat="1" x14ac:dyDescent="0.35">
      <c r="O253" s="76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74"/>
      <c r="CU253" s="74"/>
      <c r="CV253" s="74"/>
      <c r="CW253" s="74"/>
      <c r="CX253" s="74"/>
      <c r="CY253" s="74"/>
      <c r="CZ253" s="74"/>
      <c r="DA253" s="74"/>
      <c r="DB253" s="74"/>
      <c r="DC253" s="74"/>
    </row>
    <row r="254" spans="15:107" customFormat="1" x14ac:dyDescent="0.35">
      <c r="O254" s="76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74"/>
      <c r="CU254" s="74"/>
      <c r="CV254" s="74"/>
      <c r="CW254" s="74"/>
      <c r="CX254" s="74"/>
      <c r="CY254" s="74"/>
      <c r="CZ254" s="74"/>
      <c r="DA254" s="74"/>
      <c r="DB254" s="74"/>
      <c r="DC254" s="74"/>
    </row>
    <row r="255" spans="15:107" customFormat="1" x14ac:dyDescent="0.35">
      <c r="O255" s="76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74"/>
      <c r="CU255" s="74"/>
      <c r="CV255" s="74"/>
      <c r="CW255" s="74"/>
      <c r="CX255" s="74"/>
      <c r="CY255" s="74"/>
      <c r="CZ255" s="74"/>
      <c r="DA255" s="74"/>
      <c r="DB255" s="74"/>
      <c r="DC255" s="74"/>
    </row>
    <row r="256" spans="15:107" customFormat="1" x14ac:dyDescent="0.35">
      <c r="O256" s="76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74"/>
      <c r="CU256" s="74"/>
      <c r="CV256" s="74"/>
      <c r="CW256" s="74"/>
      <c r="CX256" s="74"/>
      <c r="CY256" s="74"/>
      <c r="CZ256" s="74"/>
      <c r="DA256" s="74"/>
      <c r="DB256" s="74"/>
      <c r="DC256" s="74"/>
    </row>
    <row r="257" spans="15:107" customFormat="1" x14ac:dyDescent="0.35">
      <c r="O257" s="76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74"/>
      <c r="CU257" s="74"/>
      <c r="CV257" s="74"/>
      <c r="CW257" s="74"/>
      <c r="CX257" s="74"/>
      <c r="CY257" s="74"/>
      <c r="CZ257" s="74"/>
      <c r="DA257" s="74"/>
      <c r="DB257" s="74"/>
      <c r="DC257" s="74"/>
    </row>
    <row r="258" spans="15:107" customFormat="1" x14ac:dyDescent="0.35">
      <c r="O258" s="76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74"/>
      <c r="CU258" s="74"/>
      <c r="CV258" s="74"/>
      <c r="CW258" s="74"/>
      <c r="CX258" s="74"/>
      <c r="CY258" s="74"/>
      <c r="CZ258" s="74"/>
      <c r="DA258" s="74"/>
      <c r="DB258" s="74"/>
      <c r="DC258" s="74"/>
    </row>
    <row r="259" spans="15:107" customFormat="1" x14ac:dyDescent="0.35">
      <c r="O259" s="76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74"/>
      <c r="CU259" s="74"/>
      <c r="CV259" s="74"/>
      <c r="CW259" s="74"/>
      <c r="CX259" s="74"/>
      <c r="CY259" s="74"/>
      <c r="CZ259" s="74"/>
      <c r="DA259" s="74"/>
      <c r="DB259" s="74"/>
      <c r="DC259" s="74"/>
    </row>
    <row r="260" spans="15:107" customFormat="1" x14ac:dyDescent="0.35">
      <c r="O260" s="76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  <c r="BD260" s="74"/>
      <c r="BE260" s="74"/>
      <c r="BF260" s="74"/>
      <c r="BG260" s="74"/>
      <c r="BH260" s="74"/>
      <c r="BI260" s="74"/>
      <c r="BJ260" s="74"/>
      <c r="BK260" s="74"/>
      <c r="BL260" s="74"/>
      <c r="BM260" s="74"/>
      <c r="BN260" s="74"/>
      <c r="BO260" s="74"/>
      <c r="BP260" s="74"/>
      <c r="BQ260" s="74"/>
      <c r="BR260" s="74"/>
      <c r="BS260" s="74"/>
      <c r="BT260" s="74"/>
      <c r="BU260" s="74"/>
      <c r="BV260" s="74"/>
      <c r="BW260" s="74"/>
      <c r="BX260" s="74"/>
      <c r="BY260" s="74"/>
      <c r="BZ260" s="74"/>
      <c r="CA260" s="74"/>
      <c r="CB260" s="74"/>
      <c r="CC260" s="74"/>
      <c r="CD260" s="74"/>
      <c r="CE260" s="74"/>
      <c r="CF260" s="74"/>
      <c r="CG260" s="74"/>
      <c r="CH260" s="74"/>
      <c r="CI260" s="74"/>
      <c r="CJ260" s="74"/>
      <c r="CK260" s="74"/>
      <c r="CL260" s="74"/>
      <c r="CM260" s="74"/>
      <c r="CN260" s="74"/>
      <c r="CO260" s="74"/>
      <c r="CP260" s="74"/>
      <c r="CQ260" s="74"/>
      <c r="CR260" s="74"/>
      <c r="CS260" s="74"/>
      <c r="CT260" s="74"/>
      <c r="CU260" s="74"/>
      <c r="CV260" s="74"/>
      <c r="CW260" s="74"/>
      <c r="CX260" s="74"/>
      <c r="CY260" s="74"/>
      <c r="CZ260" s="74"/>
      <c r="DA260" s="74"/>
      <c r="DB260" s="74"/>
      <c r="DC260" s="74"/>
    </row>
    <row r="261" spans="15:107" customFormat="1" x14ac:dyDescent="0.35">
      <c r="O261" s="76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  <c r="AZ261" s="74"/>
      <c r="BA261" s="74"/>
      <c r="BB261" s="74"/>
      <c r="BC261" s="74"/>
      <c r="BD261" s="74"/>
      <c r="BE261" s="74"/>
      <c r="BF261" s="74"/>
      <c r="BG261" s="74"/>
      <c r="BH261" s="74"/>
      <c r="BI261" s="74"/>
      <c r="BJ261" s="74"/>
      <c r="BK261" s="74"/>
      <c r="BL261" s="74"/>
      <c r="BM261" s="74"/>
      <c r="BN261" s="74"/>
      <c r="BO261" s="74"/>
      <c r="BP261" s="74"/>
      <c r="BQ261" s="74"/>
      <c r="BR261" s="74"/>
      <c r="BS261" s="74"/>
      <c r="BT261" s="74"/>
      <c r="BU261" s="74"/>
      <c r="BV261" s="74"/>
      <c r="BW261" s="74"/>
      <c r="BX261" s="74"/>
      <c r="BY261" s="74"/>
      <c r="BZ261" s="74"/>
      <c r="CA261" s="74"/>
      <c r="CB261" s="74"/>
      <c r="CC261" s="74"/>
      <c r="CD261" s="74"/>
      <c r="CE261" s="74"/>
      <c r="CF261" s="74"/>
      <c r="CG261" s="74"/>
      <c r="CH261" s="74"/>
      <c r="CI261" s="74"/>
      <c r="CJ261" s="74"/>
      <c r="CK261" s="74"/>
      <c r="CL261" s="74"/>
      <c r="CM261" s="74"/>
      <c r="CN261" s="74"/>
      <c r="CO261" s="74"/>
      <c r="CP261" s="74"/>
      <c r="CQ261" s="74"/>
      <c r="CR261" s="74"/>
      <c r="CS261" s="74"/>
      <c r="CT261" s="74"/>
      <c r="CU261" s="74"/>
      <c r="CV261" s="74"/>
      <c r="CW261" s="74"/>
      <c r="CX261" s="74"/>
      <c r="CY261" s="74"/>
      <c r="CZ261" s="74"/>
      <c r="DA261" s="74"/>
      <c r="DB261" s="74"/>
      <c r="DC261" s="74"/>
    </row>
    <row r="262" spans="15:107" customFormat="1" x14ac:dyDescent="0.35">
      <c r="O262" s="76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  <c r="AT262" s="74"/>
      <c r="AU262" s="74"/>
      <c r="AV262" s="74"/>
      <c r="AW262" s="74"/>
      <c r="AX262" s="74"/>
      <c r="AY262" s="74"/>
      <c r="AZ262" s="74"/>
      <c r="BA262" s="74"/>
      <c r="BB262" s="74"/>
      <c r="BC262" s="74"/>
      <c r="BD262" s="74"/>
      <c r="BE262" s="74"/>
      <c r="BF262" s="74"/>
      <c r="BG262" s="74"/>
      <c r="BH262" s="74"/>
      <c r="BI262" s="74"/>
      <c r="BJ262" s="74"/>
      <c r="BK262" s="74"/>
      <c r="BL262" s="74"/>
      <c r="BM262" s="74"/>
      <c r="BN262" s="74"/>
      <c r="BO262" s="74"/>
      <c r="BP262" s="74"/>
      <c r="BQ262" s="74"/>
      <c r="BR262" s="74"/>
      <c r="BS262" s="74"/>
      <c r="BT262" s="74"/>
      <c r="BU262" s="74"/>
      <c r="BV262" s="74"/>
      <c r="BW262" s="74"/>
      <c r="BX262" s="74"/>
      <c r="BY262" s="74"/>
      <c r="BZ262" s="74"/>
      <c r="CA262" s="74"/>
      <c r="CB262" s="74"/>
      <c r="CC262" s="74"/>
      <c r="CD262" s="74"/>
      <c r="CE262" s="74"/>
      <c r="CF262" s="74"/>
      <c r="CG262" s="74"/>
      <c r="CH262" s="74"/>
      <c r="CI262" s="74"/>
      <c r="CJ262" s="74"/>
      <c r="CK262" s="74"/>
      <c r="CL262" s="74"/>
      <c r="CM262" s="74"/>
      <c r="CN262" s="74"/>
      <c r="CO262" s="74"/>
      <c r="CP262" s="74"/>
      <c r="CQ262" s="74"/>
      <c r="CR262" s="74"/>
      <c r="CS262" s="74"/>
      <c r="CT262" s="74"/>
      <c r="CU262" s="74"/>
      <c r="CV262" s="74"/>
      <c r="CW262" s="74"/>
      <c r="CX262" s="74"/>
      <c r="CY262" s="74"/>
      <c r="CZ262" s="74"/>
      <c r="DA262" s="74"/>
      <c r="DB262" s="74"/>
      <c r="DC262" s="74"/>
    </row>
    <row r="263" spans="15:107" customFormat="1" x14ac:dyDescent="0.35">
      <c r="O263" s="76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  <c r="AS263" s="74"/>
      <c r="AT263" s="74"/>
      <c r="AU263" s="74"/>
      <c r="AV263" s="74"/>
      <c r="AW263" s="74"/>
      <c r="AX263" s="74"/>
      <c r="AY263" s="74"/>
      <c r="AZ263" s="74"/>
      <c r="BA263" s="74"/>
      <c r="BB263" s="74"/>
      <c r="BC263" s="74"/>
      <c r="BD263" s="74"/>
      <c r="BE263" s="74"/>
      <c r="BF263" s="74"/>
      <c r="BG263" s="74"/>
      <c r="BH263" s="74"/>
      <c r="BI263" s="74"/>
      <c r="BJ263" s="74"/>
      <c r="BK263" s="74"/>
      <c r="BL263" s="74"/>
      <c r="BM263" s="74"/>
      <c r="BN263" s="74"/>
      <c r="BO263" s="74"/>
      <c r="BP263" s="74"/>
      <c r="BQ263" s="74"/>
      <c r="BR263" s="74"/>
      <c r="BS263" s="74"/>
      <c r="BT263" s="74"/>
      <c r="BU263" s="74"/>
      <c r="BV263" s="74"/>
      <c r="BW263" s="74"/>
      <c r="BX263" s="74"/>
      <c r="BY263" s="74"/>
      <c r="BZ263" s="74"/>
      <c r="CA263" s="74"/>
      <c r="CB263" s="74"/>
      <c r="CC263" s="74"/>
      <c r="CD263" s="74"/>
      <c r="CE263" s="74"/>
      <c r="CF263" s="74"/>
      <c r="CG263" s="74"/>
      <c r="CH263" s="74"/>
      <c r="CI263" s="74"/>
      <c r="CJ263" s="74"/>
      <c r="CK263" s="74"/>
      <c r="CL263" s="74"/>
      <c r="CM263" s="74"/>
      <c r="CN263" s="74"/>
      <c r="CO263" s="74"/>
      <c r="CP263" s="74"/>
      <c r="CQ263" s="74"/>
      <c r="CR263" s="74"/>
      <c r="CS263" s="74"/>
      <c r="CT263" s="74"/>
      <c r="CU263" s="74"/>
      <c r="CV263" s="74"/>
      <c r="CW263" s="74"/>
      <c r="CX263" s="74"/>
      <c r="CY263" s="74"/>
      <c r="CZ263" s="74"/>
      <c r="DA263" s="74"/>
      <c r="DB263" s="74"/>
      <c r="DC263" s="74"/>
    </row>
    <row r="264" spans="15:107" customFormat="1" x14ac:dyDescent="0.35">
      <c r="O264" s="76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  <c r="AS264" s="74"/>
      <c r="AT264" s="74"/>
      <c r="AU264" s="74"/>
      <c r="AV264" s="74"/>
      <c r="AW264" s="74"/>
      <c r="AX264" s="74"/>
      <c r="AY264" s="74"/>
      <c r="AZ264" s="74"/>
      <c r="BA264" s="74"/>
      <c r="BB264" s="74"/>
      <c r="BC264" s="74"/>
      <c r="BD264" s="74"/>
      <c r="BE264" s="74"/>
      <c r="BF264" s="74"/>
      <c r="BG264" s="74"/>
      <c r="BH264" s="74"/>
      <c r="BI264" s="74"/>
      <c r="BJ264" s="74"/>
      <c r="BK264" s="74"/>
      <c r="BL264" s="74"/>
      <c r="BM264" s="74"/>
      <c r="BN264" s="74"/>
      <c r="BO264" s="74"/>
      <c r="BP264" s="74"/>
      <c r="BQ264" s="74"/>
      <c r="BR264" s="74"/>
      <c r="BS264" s="74"/>
      <c r="BT264" s="74"/>
      <c r="BU264" s="74"/>
      <c r="BV264" s="74"/>
      <c r="BW264" s="74"/>
      <c r="BX264" s="74"/>
      <c r="BY264" s="74"/>
      <c r="BZ264" s="74"/>
      <c r="CA264" s="74"/>
      <c r="CB264" s="74"/>
      <c r="CC264" s="74"/>
      <c r="CD264" s="74"/>
      <c r="CE264" s="74"/>
      <c r="CF264" s="74"/>
      <c r="CG264" s="74"/>
      <c r="CH264" s="74"/>
      <c r="CI264" s="74"/>
      <c r="CJ264" s="74"/>
      <c r="CK264" s="74"/>
      <c r="CL264" s="74"/>
      <c r="CM264" s="74"/>
      <c r="CN264" s="74"/>
      <c r="CO264" s="74"/>
      <c r="CP264" s="74"/>
      <c r="CQ264" s="74"/>
      <c r="CR264" s="74"/>
      <c r="CS264" s="74"/>
      <c r="CT264" s="74"/>
      <c r="CU264" s="74"/>
      <c r="CV264" s="74"/>
      <c r="CW264" s="74"/>
      <c r="CX264" s="74"/>
      <c r="CY264" s="74"/>
      <c r="CZ264" s="74"/>
      <c r="DA264" s="74"/>
      <c r="DB264" s="74"/>
      <c r="DC264" s="74"/>
    </row>
    <row r="265" spans="15:107" customFormat="1" x14ac:dyDescent="0.35">
      <c r="O265" s="76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  <c r="AZ265" s="74"/>
      <c r="BA265" s="74"/>
      <c r="BB265" s="74"/>
      <c r="BC265" s="74"/>
      <c r="BD265" s="74"/>
      <c r="BE265" s="74"/>
      <c r="BF265" s="74"/>
      <c r="BG265" s="74"/>
      <c r="BH265" s="74"/>
      <c r="BI265" s="74"/>
      <c r="BJ265" s="74"/>
      <c r="BK265" s="74"/>
      <c r="BL265" s="74"/>
      <c r="BM265" s="74"/>
      <c r="BN265" s="74"/>
      <c r="BO265" s="74"/>
      <c r="BP265" s="74"/>
      <c r="BQ265" s="74"/>
      <c r="BR265" s="74"/>
      <c r="BS265" s="74"/>
      <c r="BT265" s="74"/>
      <c r="BU265" s="74"/>
      <c r="BV265" s="74"/>
      <c r="BW265" s="74"/>
      <c r="BX265" s="74"/>
      <c r="BY265" s="74"/>
      <c r="BZ265" s="74"/>
      <c r="CA265" s="74"/>
      <c r="CB265" s="74"/>
      <c r="CC265" s="74"/>
      <c r="CD265" s="74"/>
      <c r="CE265" s="74"/>
      <c r="CF265" s="74"/>
      <c r="CG265" s="74"/>
      <c r="CH265" s="74"/>
      <c r="CI265" s="74"/>
      <c r="CJ265" s="74"/>
      <c r="CK265" s="74"/>
      <c r="CL265" s="74"/>
      <c r="CM265" s="74"/>
      <c r="CN265" s="74"/>
      <c r="CO265" s="74"/>
      <c r="CP265" s="74"/>
      <c r="CQ265" s="74"/>
      <c r="CR265" s="74"/>
      <c r="CS265" s="74"/>
      <c r="CT265" s="74"/>
      <c r="CU265" s="74"/>
      <c r="CV265" s="74"/>
      <c r="CW265" s="74"/>
      <c r="CX265" s="74"/>
      <c r="CY265" s="74"/>
      <c r="CZ265" s="74"/>
      <c r="DA265" s="74"/>
      <c r="DB265" s="74"/>
      <c r="DC265" s="74"/>
    </row>
    <row r="266" spans="15:107" customFormat="1" x14ac:dyDescent="0.35">
      <c r="O266" s="76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  <c r="AZ266" s="74"/>
      <c r="BA266" s="74"/>
      <c r="BB266" s="74"/>
      <c r="BC266" s="74"/>
      <c r="BD266" s="74"/>
      <c r="BE266" s="74"/>
      <c r="BF266" s="74"/>
      <c r="BG266" s="74"/>
      <c r="BH266" s="74"/>
      <c r="BI266" s="74"/>
      <c r="BJ266" s="74"/>
      <c r="BK266" s="74"/>
      <c r="BL266" s="74"/>
      <c r="BM266" s="74"/>
      <c r="BN266" s="74"/>
      <c r="BO266" s="74"/>
      <c r="BP266" s="74"/>
      <c r="BQ266" s="74"/>
      <c r="BR266" s="74"/>
      <c r="BS266" s="74"/>
      <c r="BT266" s="74"/>
      <c r="BU266" s="74"/>
      <c r="BV266" s="74"/>
      <c r="BW266" s="74"/>
      <c r="BX266" s="74"/>
      <c r="BY266" s="74"/>
      <c r="BZ266" s="74"/>
      <c r="CA266" s="74"/>
      <c r="CB266" s="74"/>
      <c r="CC266" s="74"/>
      <c r="CD266" s="74"/>
      <c r="CE266" s="74"/>
      <c r="CF266" s="74"/>
      <c r="CG266" s="74"/>
      <c r="CH266" s="74"/>
      <c r="CI266" s="74"/>
      <c r="CJ266" s="74"/>
      <c r="CK266" s="74"/>
      <c r="CL266" s="74"/>
      <c r="CM266" s="74"/>
      <c r="CN266" s="74"/>
      <c r="CO266" s="74"/>
      <c r="CP266" s="74"/>
      <c r="CQ266" s="74"/>
      <c r="CR266" s="74"/>
      <c r="CS266" s="74"/>
      <c r="CT266" s="74"/>
      <c r="CU266" s="74"/>
      <c r="CV266" s="74"/>
      <c r="CW266" s="74"/>
      <c r="CX266" s="74"/>
      <c r="CY266" s="74"/>
      <c r="CZ266" s="74"/>
      <c r="DA266" s="74"/>
      <c r="DB266" s="74"/>
      <c r="DC266" s="74"/>
    </row>
    <row r="267" spans="15:107" customFormat="1" x14ac:dyDescent="0.35">
      <c r="O267" s="76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  <c r="BA267" s="74"/>
      <c r="BB267" s="74"/>
      <c r="BC267" s="74"/>
      <c r="BD267" s="74"/>
      <c r="BE267" s="74"/>
      <c r="BF267" s="74"/>
      <c r="BG267" s="74"/>
      <c r="BH267" s="74"/>
      <c r="BI267" s="74"/>
      <c r="BJ267" s="74"/>
      <c r="BK267" s="74"/>
      <c r="BL267" s="74"/>
      <c r="BM267" s="74"/>
      <c r="BN267" s="74"/>
      <c r="BO267" s="74"/>
      <c r="BP267" s="74"/>
      <c r="BQ267" s="74"/>
      <c r="BR267" s="74"/>
      <c r="BS267" s="74"/>
      <c r="BT267" s="74"/>
      <c r="BU267" s="74"/>
      <c r="BV267" s="74"/>
      <c r="BW267" s="74"/>
      <c r="BX267" s="74"/>
      <c r="BY267" s="74"/>
      <c r="BZ267" s="74"/>
      <c r="CA267" s="74"/>
      <c r="CB267" s="74"/>
      <c r="CC267" s="74"/>
      <c r="CD267" s="74"/>
      <c r="CE267" s="74"/>
      <c r="CF267" s="74"/>
      <c r="CG267" s="74"/>
      <c r="CH267" s="74"/>
      <c r="CI267" s="74"/>
      <c r="CJ267" s="74"/>
      <c r="CK267" s="74"/>
      <c r="CL267" s="74"/>
      <c r="CM267" s="74"/>
      <c r="CN267" s="74"/>
      <c r="CO267" s="74"/>
      <c r="CP267" s="74"/>
      <c r="CQ267" s="74"/>
      <c r="CR267" s="74"/>
      <c r="CS267" s="74"/>
      <c r="CT267" s="74"/>
      <c r="CU267" s="74"/>
      <c r="CV267" s="74"/>
      <c r="CW267" s="74"/>
      <c r="CX267" s="74"/>
      <c r="CY267" s="74"/>
      <c r="CZ267" s="74"/>
      <c r="DA267" s="74"/>
      <c r="DB267" s="74"/>
      <c r="DC267" s="74"/>
    </row>
    <row r="268" spans="15:107" customFormat="1" x14ac:dyDescent="0.35">
      <c r="O268" s="76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  <c r="AZ268" s="74"/>
      <c r="BA268" s="74"/>
      <c r="BB268" s="74"/>
      <c r="BC268" s="74"/>
      <c r="BD268" s="74"/>
      <c r="BE268" s="74"/>
      <c r="BF268" s="74"/>
      <c r="BG268" s="74"/>
      <c r="BH268" s="74"/>
      <c r="BI268" s="74"/>
      <c r="BJ268" s="74"/>
      <c r="BK268" s="74"/>
      <c r="BL268" s="74"/>
      <c r="BM268" s="74"/>
      <c r="BN268" s="74"/>
      <c r="BO268" s="74"/>
      <c r="BP268" s="74"/>
      <c r="BQ268" s="74"/>
      <c r="BR268" s="74"/>
      <c r="BS268" s="74"/>
      <c r="BT268" s="74"/>
      <c r="BU268" s="74"/>
      <c r="BV268" s="74"/>
      <c r="BW268" s="74"/>
      <c r="BX268" s="74"/>
      <c r="BY268" s="74"/>
      <c r="BZ268" s="74"/>
      <c r="CA268" s="74"/>
      <c r="CB268" s="74"/>
      <c r="CC268" s="74"/>
      <c r="CD268" s="74"/>
      <c r="CE268" s="74"/>
      <c r="CF268" s="74"/>
      <c r="CG268" s="74"/>
      <c r="CH268" s="74"/>
      <c r="CI268" s="74"/>
      <c r="CJ268" s="74"/>
      <c r="CK268" s="74"/>
      <c r="CL268" s="74"/>
      <c r="CM268" s="74"/>
      <c r="CN268" s="74"/>
      <c r="CO268" s="74"/>
      <c r="CP268" s="74"/>
      <c r="CQ268" s="74"/>
      <c r="CR268" s="74"/>
      <c r="CS268" s="74"/>
      <c r="CT268" s="74"/>
      <c r="CU268" s="74"/>
      <c r="CV268" s="74"/>
      <c r="CW268" s="74"/>
      <c r="CX268" s="74"/>
      <c r="CY268" s="74"/>
      <c r="CZ268" s="74"/>
      <c r="DA268" s="74"/>
      <c r="DB268" s="74"/>
      <c r="DC268" s="74"/>
    </row>
    <row r="269" spans="15:107" customFormat="1" x14ac:dyDescent="0.35">
      <c r="O269" s="76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74"/>
      <c r="BM269" s="74"/>
      <c r="BN269" s="74"/>
      <c r="BO269" s="74"/>
      <c r="BP269" s="74"/>
      <c r="BQ269" s="74"/>
      <c r="BR269" s="74"/>
      <c r="BS269" s="74"/>
      <c r="BT269" s="74"/>
      <c r="BU269" s="74"/>
      <c r="BV269" s="74"/>
      <c r="BW269" s="74"/>
      <c r="BX269" s="74"/>
      <c r="BY269" s="74"/>
      <c r="BZ269" s="74"/>
      <c r="CA269" s="74"/>
      <c r="CB269" s="74"/>
      <c r="CC269" s="74"/>
      <c r="CD269" s="74"/>
      <c r="CE269" s="74"/>
      <c r="CF269" s="74"/>
      <c r="CG269" s="74"/>
      <c r="CH269" s="74"/>
      <c r="CI269" s="74"/>
      <c r="CJ269" s="74"/>
      <c r="CK269" s="74"/>
      <c r="CL269" s="74"/>
      <c r="CM269" s="74"/>
      <c r="CN269" s="74"/>
      <c r="CO269" s="74"/>
      <c r="CP269" s="74"/>
      <c r="CQ269" s="74"/>
      <c r="CR269" s="74"/>
      <c r="CS269" s="74"/>
      <c r="CT269" s="74"/>
      <c r="CU269" s="74"/>
      <c r="CV269" s="74"/>
      <c r="CW269" s="74"/>
      <c r="CX269" s="74"/>
      <c r="CY269" s="74"/>
      <c r="CZ269" s="74"/>
      <c r="DA269" s="74"/>
      <c r="DB269" s="74"/>
      <c r="DC269" s="74"/>
    </row>
    <row r="270" spans="15:107" customFormat="1" x14ac:dyDescent="0.35">
      <c r="O270" s="76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74"/>
      <c r="BM270" s="74"/>
      <c r="BN270" s="74"/>
      <c r="BO270" s="74"/>
      <c r="BP270" s="74"/>
      <c r="BQ270" s="74"/>
      <c r="BR270" s="74"/>
      <c r="BS270" s="74"/>
      <c r="BT270" s="74"/>
      <c r="BU270" s="74"/>
      <c r="BV270" s="74"/>
      <c r="BW270" s="74"/>
      <c r="BX270" s="74"/>
      <c r="BY270" s="74"/>
      <c r="BZ270" s="74"/>
      <c r="CA270" s="74"/>
      <c r="CB270" s="74"/>
      <c r="CC270" s="74"/>
      <c r="CD270" s="74"/>
      <c r="CE270" s="74"/>
      <c r="CF270" s="74"/>
      <c r="CG270" s="74"/>
      <c r="CH270" s="74"/>
      <c r="CI270" s="74"/>
      <c r="CJ270" s="74"/>
      <c r="CK270" s="74"/>
      <c r="CL270" s="74"/>
      <c r="CM270" s="74"/>
      <c r="CN270" s="74"/>
      <c r="CO270" s="74"/>
      <c r="CP270" s="74"/>
      <c r="CQ270" s="74"/>
      <c r="CR270" s="74"/>
      <c r="CS270" s="74"/>
      <c r="CT270" s="74"/>
      <c r="CU270" s="74"/>
      <c r="CV270" s="74"/>
      <c r="CW270" s="74"/>
      <c r="CX270" s="74"/>
      <c r="CY270" s="74"/>
      <c r="CZ270" s="74"/>
      <c r="DA270" s="74"/>
      <c r="DB270" s="74"/>
      <c r="DC270" s="74"/>
    </row>
    <row r="271" spans="15:107" customFormat="1" x14ac:dyDescent="0.35">
      <c r="O271" s="76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74"/>
      <c r="BM271" s="74"/>
      <c r="BN271" s="74"/>
      <c r="BO271" s="74"/>
      <c r="BP271" s="74"/>
      <c r="BQ271" s="74"/>
      <c r="BR271" s="74"/>
      <c r="BS271" s="74"/>
      <c r="BT271" s="74"/>
      <c r="BU271" s="74"/>
      <c r="BV271" s="74"/>
      <c r="BW271" s="74"/>
      <c r="BX271" s="74"/>
      <c r="BY271" s="74"/>
      <c r="BZ271" s="74"/>
      <c r="CA271" s="74"/>
      <c r="CB271" s="74"/>
      <c r="CC271" s="74"/>
      <c r="CD271" s="74"/>
      <c r="CE271" s="74"/>
      <c r="CF271" s="74"/>
      <c r="CG271" s="74"/>
      <c r="CH271" s="74"/>
      <c r="CI271" s="74"/>
      <c r="CJ271" s="74"/>
      <c r="CK271" s="74"/>
      <c r="CL271" s="74"/>
      <c r="CM271" s="74"/>
      <c r="CN271" s="74"/>
      <c r="CO271" s="74"/>
      <c r="CP271" s="74"/>
      <c r="CQ271" s="74"/>
      <c r="CR271" s="74"/>
      <c r="CS271" s="74"/>
      <c r="CT271" s="74"/>
      <c r="CU271" s="74"/>
      <c r="CV271" s="74"/>
      <c r="CW271" s="74"/>
      <c r="CX271" s="74"/>
      <c r="CY271" s="74"/>
      <c r="CZ271" s="74"/>
      <c r="DA271" s="74"/>
      <c r="DB271" s="74"/>
      <c r="DC271" s="74"/>
    </row>
    <row r="272" spans="15:107" customFormat="1" x14ac:dyDescent="0.35">
      <c r="O272" s="76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74"/>
      <c r="BM272" s="74"/>
      <c r="BN272" s="74"/>
      <c r="BO272" s="74"/>
      <c r="BP272" s="74"/>
      <c r="BQ272" s="74"/>
      <c r="BR272" s="74"/>
      <c r="BS272" s="74"/>
      <c r="BT272" s="74"/>
      <c r="BU272" s="74"/>
      <c r="BV272" s="74"/>
      <c r="BW272" s="74"/>
      <c r="BX272" s="74"/>
      <c r="BY272" s="74"/>
      <c r="BZ272" s="74"/>
      <c r="CA272" s="74"/>
      <c r="CB272" s="74"/>
      <c r="CC272" s="74"/>
      <c r="CD272" s="74"/>
      <c r="CE272" s="74"/>
      <c r="CF272" s="74"/>
      <c r="CG272" s="74"/>
      <c r="CH272" s="74"/>
      <c r="CI272" s="74"/>
      <c r="CJ272" s="74"/>
      <c r="CK272" s="74"/>
      <c r="CL272" s="74"/>
      <c r="CM272" s="74"/>
      <c r="CN272" s="74"/>
      <c r="CO272" s="74"/>
      <c r="CP272" s="74"/>
      <c r="CQ272" s="74"/>
      <c r="CR272" s="74"/>
      <c r="CS272" s="74"/>
      <c r="CT272" s="74"/>
      <c r="CU272" s="74"/>
      <c r="CV272" s="74"/>
      <c r="CW272" s="74"/>
      <c r="CX272" s="74"/>
      <c r="CY272" s="74"/>
      <c r="CZ272" s="74"/>
      <c r="DA272" s="74"/>
      <c r="DB272" s="74"/>
      <c r="DC272" s="74"/>
    </row>
    <row r="273" spans="15:107" customFormat="1" x14ac:dyDescent="0.35">
      <c r="O273" s="76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  <c r="BD273" s="74"/>
      <c r="BE273" s="74"/>
      <c r="BF273" s="74"/>
      <c r="BG273" s="74"/>
      <c r="BH273" s="74"/>
      <c r="BI273" s="74"/>
      <c r="BJ273" s="74"/>
      <c r="BK273" s="74"/>
      <c r="BL273" s="74"/>
      <c r="BM273" s="74"/>
      <c r="BN273" s="74"/>
      <c r="BO273" s="74"/>
      <c r="BP273" s="74"/>
      <c r="BQ273" s="74"/>
      <c r="BR273" s="74"/>
      <c r="BS273" s="74"/>
      <c r="BT273" s="74"/>
      <c r="BU273" s="74"/>
      <c r="BV273" s="74"/>
      <c r="BW273" s="74"/>
      <c r="BX273" s="74"/>
      <c r="BY273" s="74"/>
      <c r="BZ273" s="74"/>
      <c r="CA273" s="74"/>
      <c r="CB273" s="74"/>
      <c r="CC273" s="74"/>
      <c r="CD273" s="74"/>
      <c r="CE273" s="74"/>
      <c r="CF273" s="74"/>
      <c r="CG273" s="74"/>
      <c r="CH273" s="74"/>
      <c r="CI273" s="74"/>
      <c r="CJ273" s="74"/>
      <c r="CK273" s="74"/>
      <c r="CL273" s="74"/>
      <c r="CM273" s="74"/>
      <c r="CN273" s="74"/>
      <c r="CO273" s="74"/>
      <c r="CP273" s="74"/>
      <c r="CQ273" s="74"/>
      <c r="CR273" s="74"/>
      <c r="CS273" s="74"/>
      <c r="CT273" s="74"/>
      <c r="CU273" s="74"/>
      <c r="CV273" s="74"/>
      <c r="CW273" s="74"/>
      <c r="CX273" s="74"/>
      <c r="CY273" s="74"/>
      <c r="CZ273" s="74"/>
      <c r="DA273" s="74"/>
      <c r="DB273" s="74"/>
      <c r="DC273" s="74"/>
    </row>
    <row r="274" spans="15:107" customFormat="1" x14ac:dyDescent="0.35">
      <c r="O274" s="76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  <c r="BD274" s="74"/>
      <c r="BE274" s="74"/>
      <c r="BF274" s="74"/>
      <c r="BG274" s="74"/>
      <c r="BH274" s="74"/>
      <c r="BI274" s="74"/>
      <c r="BJ274" s="74"/>
      <c r="BK274" s="74"/>
      <c r="BL274" s="74"/>
      <c r="BM274" s="74"/>
      <c r="BN274" s="74"/>
      <c r="BO274" s="74"/>
      <c r="BP274" s="74"/>
      <c r="BQ274" s="74"/>
      <c r="BR274" s="74"/>
      <c r="BS274" s="74"/>
      <c r="BT274" s="74"/>
      <c r="BU274" s="74"/>
      <c r="BV274" s="74"/>
      <c r="BW274" s="74"/>
      <c r="BX274" s="74"/>
      <c r="BY274" s="74"/>
      <c r="BZ274" s="74"/>
      <c r="CA274" s="74"/>
      <c r="CB274" s="74"/>
      <c r="CC274" s="74"/>
      <c r="CD274" s="74"/>
      <c r="CE274" s="74"/>
      <c r="CF274" s="74"/>
      <c r="CG274" s="74"/>
      <c r="CH274" s="74"/>
      <c r="CI274" s="74"/>
      <c r="CJ274" s="74"/>
      <c r="CK274" s="74"/>
      <c r="CL274" s="74"/>
      <c r="CM274" s="74"/>
      <c r="CN274" s="74"/>
      <c r="CO274" s="74"/>
      <c r="CP274" s="74"/>
      <c r="CQ274" s="74"/>
      <c r="CR274" s="74"/>
      <c r="CS274" s="74"/>
      <c r="CT274" s="74"/>
      <c r="CU274" s="74"/>
      <c r="CV274" s="74"/>
      <c r="CW274" s="74"/>
      <c r="CX274" s="74"/>
      <c r="CY274" s="74"/>
      <c r="CZ274" s="74"/>
      <c r="DA274" s="74"/>
      <c r="DB274" s="74"/>
      <c r="DC274" s="74"/>
    </row>
    <row r="275" spans="15:107" customFormat="1" x14ac:dyDescent="0.35">
      <c r="O275" s="76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74"/>
      <c r="BM275" s="74"/>
      <c r="BN275" s="74"/>
      <c r="BO275" s="74"/>
      <c r="BP275" s="74"/>
      <c r="BQ275" s="74"/>
      <c r="BR275" s="74"/>
      <c r="BS275" s="74"/>
      <c r="BT275" s="74"/>
      <c r="BU275" s="74"/>
      <c r="BV275" s="74"/>
      <c r="BW275" s="74"/>
      <c r="BX275" s="74"/>
      <c r="BY275" s="74"/>
      <c r="BZ275" s="74"/>
      <c r="CA275" s="74"/>
      <c r="CB275" s="74"/>
      <c r="CC275" s="74"/>
      <c r="CD275" s="74"/>
      <c r="CE275" s="74"/>
      <c r="CF275" s="74"/>
      <c r="CG275" s="74"/>
      <c r="CH275" s="74"/>
      <c r="CI275" s="74"/>
      <c r="CJ275" s="74"/>
      <c r="CK275" s="74"/>
      <c r="CL275" s="74"/>
      <c r="CM275" s="74"/>
      <c r="CN275" s="74"/>
      <c r="CO275" s="74"/>
      <c r="CP275" s="74"/>
      <c r="CQ275" s="74"/>
      <c r="CR275" s="74"/>
      <c r="CS275" s="74"/>
      <c r="CT275" s="74"/>
      <c r="CU275" s="74"/>
      <c r="CV275" s="74"/>
      <c r="CW275" s="74"/>
      <c r="CX275" s="74"/>
      <c r="CY275" s="74"/>
      <c r="CZ275" s="74"/>
      <c r="DA275" s="74"/>
      <c r="DB275" s="74"/>
      <c r="DC275" s="74"/>
    </row>
    <row r="276" spans="15:107" customFormat="1" x14ac:dyDescent="0.35">
      <c r="O276" s="76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74"/>
      <c r="BM276" s="74"/>
      <c r="BN276" s="74"/>
      <c r="BO276" s="74"/>
      <c r="BP276" s="74"/>
      <c r="BQ276" s="74"/>
      <c r="BR276" s="74"/>
      <c r="BS276" s="74"/>
      <c r="BT276" s="74"/>
      <c r="BU276" s="74"/>
      <c r="BV276" s="74"/>
      <c r="BW276" s="74"/>
      <c r="BX276" s="74"/>
      <c r="BY276" s="74"/>
      <c r="BZ276" s="74"/>
      <c r="CA276" s="74"/>
      <c r="CB276" s="74"/>
      <c r="CC276" s="74"/>
      <c r="CD276" s="74"/>
      <c r="CE276" s="74"/>
      <c r="CF276" s="74"/>
      <c r="CG276" s="74"/>
      <c r="CH276" s="74"/>
      <c r="CI276" s="74"/>
      <c r="CJ276" s="74"/>
      <c r="CK276" s="74"/>
      <c r="CL276" s="74"/>
      <c r="CM276" s="74"/>
      <c r="CN276" s="74"/>
      <c r="CO276" s="74"/>
      <c r="CP276" s="74"/>
      <c r="CQ276" s="74"/>
      <c r="CR276" s="74"/>
      <c r="CS276" s="74"/>
      <c r="CT276" s="74"/>
      <c r="CU276" s="74"/>
      <c r="CV276" s="74"/>
      <c r="CW276" s="74"/>
      <c r="CX276" s="74"/>
      <c r="CY276" s="74"/>
      <c r="CZ276" s="74"/>
      <c r="DA276" s="74"/>
      <c r="DB276" s="74"/>
      <c r="DC276" s="74"/>
    </row>
    <row r="277" spans="15:107" customFormat="1" x14ac:dyDescent="0.35">
      <c r="O277" s="76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  <c r="BD277" s="74"/>
      <c r="BE277" s="74"/>
      <c r="BF277" s="74"/>
      <c r="BG277" s="74"/>
      <c r="BH277" s="74"/>
      <c r="BI277" s="74"/>
      <c r="BJ277" s="74"/>
      <c r="BK277" s="74"/>
      <c r="BL277" s="74"/>
      <c r="BM277" s="74"/>
      <c r="BN277" s="74"/>
      <c r="BO277" s="74"/>
      <c r="BP277" s="74"/>
      <c r="BQ277" s="74"/>
      <c r="BR277" s="74"/>
      <c r="BS277" s="74"/>
      <c r="BT277" s="74"/>
      <c r="BU277" s="74"/>
      <c r="BV277" s="74"/>
      <c r="BW277" s="74"/>
      <c r="BX277" s="74"/>
      <c r="BY277" s="74"/>
      <c r="BZ277" s="74"/>
      <c r="CA277" s="74"/>
      <c r="CB277" s="74"/>
      <c r="CC277" s="74"/>
      <c r="CD277" s="74"/>
      <c r="CE277" s="74"/>
      <c r="CF277" s="74"/>
      <c r="CG277" s="74"/>
      <c r="CH277" s="74"/>
      <c r="CI277" s="74"/>
      <c r="CJ277" s="74"/>
      <c r="CK277" s="74"/>
      <c r="CL277" s="74"/>
      <c r="CM277" s="74"/>
      <c r="CN277" s="74"/>
      <c r="CO277" s="74"/>
      <c r="CP277" s="74"/>
      <c r="CQ277" s="74"/>
      <c r="CR277" s="74"/>
      <c r="CS277" s="74"/>
      <c r="CT277" s="74"/>
      <c r="CU277" s="74"/>
      <c r="CV277" s="74"/>
      <c r="CW277" s="74"/>
      <c r="CX277" s="74"/>
      <c r="CY277" s="74"/>
      <c r="CZ277" s="74"/>
      <c r="DA277" s="74"/>
      <c r="DB277" s="74"/>
      <c r="DC277" s="74"/>
    </row>
    <row r="278" spans="15:107" customFormat="1" x14ac:dyDescent="0.35">
      <c r="O278" s="76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74"/>
      <c r="BM278" s="74"/>
      <c r="BN278" s="74"/>
      <c r="BO278" s="74"/>
      <c r="BP278" s="74"/>
      <c r="BQ278" s="74"/>
      <c r="BR278" s="74"/>
      <c r="BS278" s="74"/>
      <c r="BT278" s="74"/>
      <c r="BU278" s="74"/>
      <c r="BV278" s="74"/>
      <c r="BW278" s="74"/>
      <c r="BX278" s="74"/>
      <c r="BY278" s="74"/>
      <c r="BZ278" s="74"/>
      <c r="CA278" s="74"/>
      <c r="CB278" s="74"/>
      <c r="CC278" s="74"/>
      <c r="CD278" s="74"/>
      <c r="CE278" s="74"/>
      <c r="CF278" s="74"/>
      <c r="CG278" s="74"/>
      <c r="CH278" s="74"/>
      <c r="CI278" s="74"/>
      <c r="CJ278" s="74"/>
      <c r="CK278" s="74"/>
      <c r="CL278" s="74"/>
      <c r="CM278" s="74"/>
      <c r="CN278" s="74"/>
      <c r="CO278" s="74"/>
      <c r="CP278" s="74"/>
      <c r="CQ278" s="74"/>
      <c r="CR278" s="74"/>
      <c r="CS278" s="74"/>
      <c r="CT278" s="74"/>
      <c r="CU278" s="74"/>
      <c r="CV278" s="74"/>
      <c r="CW278" s="74"/>
      <c r="CX278" s="74"/>
      <c r="CY278" s="74"/>
      <c r="CZ278" s="74"/>
      <c r="DA278" s="74"/>
      <c r="DB278" s="74"/>
      <c r="DC278" s="74"/>
    </row>
    <row r="279" spans="15:107" customFormat="1" x14ac:dyDescent="0.35">
      <c r="O279" s="76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  <c r="BC279" s="74"/>
      <c r="BD279" s="74"/>
      <c r="BE279" s="74"/>
      <c r="BF279" s="74"/>
      <c r="BG279" s="74"/>
      <c r="BH279" s="74"/>
      <c r="BI279" s="74"/>
      <c r="BJ279" s="74"/>
      <c r="BK279" s="74"/>
      <c r="BL279" s="74"/>
      <c r="BM279" s="74"/>
      <c r="BN279" s="74"/>
      <c r="BO279" s="74"/>
      <c r="BP279" s="74"/>
      <c r="BQ279" s="74"/>
      <c r="BR279" s="74"/>
      <c r="BS279" s="74"/>
      <c r="BT279" s="74"/>
      <c r="BU279" s="74"/>
      <c r="BV279" s="74"/>
      <c r="BW279" s="74"/>
      <c r="BX279" s="74"/>
      <c r="BY279" s="74"/>
      <c r="BZ279" s="74"/>
      <c r="CA279" s="74"/>
      <c r="CB279" s="74"/>
      <c r="CC279" s="74"/>
      <c r="CD279" s="74"/>
      <c r="CE279" s="74"/>
      <c r="CF279" s="74"/>
      <c r="CG279" s="74"/>
      <c r="CH279" s="74"/>
      <c r="CI279" s="74"/>
      <c r="CJ279" s="74"/>
      <c r="CK279" s="74"/>
      <c r="CL279" s="74"/>
      <c r="CM279" s="74"/>
      <c r="CN279" s="74"/>
      <c r="CO279" s="74"/>
      <c r="CP279" s="74"/>
      <c r="CQ279" s="74"/>
      <c r="CR279" s="74"/>
      <c r="CS279" s="74"/>
      <c r="CT279" s="74"/>
      <c r="CU279" s="74"/>
      <c r="CV279" s="74"/>
      <c r="CW279" s="74"/>
      <c r="CX279" s="74"/>
      <c r="CY279" s="74"/>
      <c r="CZ279" s="74"/>
      <c r="DA279" s="74"/>
      <c r="DB279" s="74"/>
      <c r="DC279" s="74"/>
    </row>
    <row r="280" spans="15:107" customFormat="1" x14ac:dyDescent="0.35">
      <c r="O280" s="76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  <c r="BC280" s="74"/>
      <c r="BD280" s="74"/>
      <c r="BE280" s="74"/>
      <c r="BF280" s="74"/>
      <c r="BG280" s="74"/>
      <c r="BH280" s="74"/>
      <c r="BI280" s="74"/>
      <c r="BJ280" s="74"/>
      <c r="BK280" s="74"/>
      <c r="BL280" s="74"/>
      <c r="BM280" s="74"/>
      <c r="BN280" s="74"/>
      <c r="BO280" s="74"/>
      <c r="BP280" s="74"/>
      <c r="BQ280" s="74"/>
      <c r="BR280" s="74"/>
      <c r="BS280" s="74"/>
      <c r="BT280" s="74"/>
      <c r="BU280" s="74"/>
      <c r="BV280" s="74"/>
      <c r="BW280" s="74"/>
      <c r="BX280" s="74"/>
      <c r="BY280" s="74"/>
      <c r="BZ280" s="74"/>
      <c r="CA280" s="74"/>
      <c r="CB280" s="74"/>
      <c r="CC280" s="74"/>
      <c r="CD280" s="74"/>
      <c r="CE280" s="74"/>
      <c r="CF280" s="74"/>
      <c r="CG280" s="74"/>
      <c r="CH280" s="74"/>
      <c r="CI280" s="74"/>
      <c r="CJ280" s="74"/>
      <c r="CK280" s="74"/>
      <c r="CL280" s="74"/>
      <c r="CM280" s="74"/>
      <c r="CN280" s="74"/>
      <c r="CO280" s="74"/>
      <c r="CP280" s="74"/>
      <c r="CQ280" s="74"/>
      <c r="CR280" s="74"/>
      <c r="CS280" s="74"/>
      <c r="CT280" s="74"/>
      <c r="CU280" s="74"/>
      <c r="CV280" s="74"/>
      <c r="CW280" s="74"/>
      <c r="CX280" s="74"/>
      <c r="CY280" s="74"/>
      <c r="CZ280" s="74"/>
      <c r="DA280" s="74"/>
      <c r="DB280" s="74"/>
      <c r="DC280" s="74"/>
    </row>
    <row r="281" spans="15:107" customFormat="1" x14ac:dyDescent="0.35">
      <c r="O281" s="76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  <c r="BA281" s="74"/>
      <c r="BB281" s="74"/>
      <c r="BC281" s="74"/>
      <c r="BD281" s="74"/>
      <c r="BE281" s="74"/>
      <c r="BF281" s="74"/>
      <c r="BG281" s="74"/>
      <c r="BH281" s="74"/>
      <c r="BI281" s="74"/>
      <c r="BJ281" s="74"/>
      <c r="BK281" s="74"/>
      <c r="BL281" s="74"/>
      <c r="BM281" s="74"/>
      <c r="BN281" s="74"/>
      <c r="BO281" s="74"/>
      <c r="BP281" s="74"/>
      <c r="BQ281" s="74"/>
      <c r="BR281" s="74"/>
      <c r="BS281" s="74"/>
      <c r="BT281" s="74"/>
      <c r="BU281" s="74"/>
      <c r="BV281" s="74"/>
      <c r="BW281" s="74"/>
      <c r="BX281" s="74"/>
      <c r="BY281" s="74"/>
      <c r="BZ281" s="74"/>
      <c r="CA281" s="74"/>
      <c r="CB281" s="74"/>
      <c r="CC281" s="74"/>
      <c r="CD281" s="74"/>
      <c r="CE281" s="74"/>
      <c r="CF281" s="74"/>
      <c r="CG281" s="74"/>
      <c r="CH281" s="74"/>
      <c r="CI281" s="74"/>
      <c r="CJ281" s="74"/>
      <c r="CK281" s="74"/>
      <c r="CL281" s="74"/>
      <c r="CM281" s="74"/>
      <c r="CN281" s="74"/>
      <c r="CO281" s="74"/>
      <c r="CP281" s="74"/>
      <c r="CQ281" s="74"/>
      <c r="CR281" s="74"/>
      <c r="CS281" s="74"/>
      <c r="CT281" s="74"/>
      <c r="CU281" s="74"/>
      <c r="CV281" s="74"/>
      <c r="CW281" s="74"/>
      <c r="CX281" s="74"/>
      <c r="CY281" s="74"/>
      <c r="CZ281" s="74"/>
      <c r="DA281" s="74"/>
      <c r="DB281" s="74"/>
      <c r="DC281" s="74"/>
    </row>
    <row r="282" spans="15:107" customFormat="1" x14ac:dyDescent="0.35">
      <c r="O282" s="76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  <c r="BC282" s="74"/>
      <c r="BD282" s="74"/>
      <c r="BE282" s="74"/>
      <c r="BF282" s="74"/>
      <c r="BG282" s="74"/>
      <c r="BH282" s="74"/>
      <c r="BI282" s="74"/>
      <c r="BJ282" s="74"/>
      <c r="BK282" s="74"/>
      <c r="BL282" s="74"/>
      <c r="BM282" s="74"/>
      <c r="BN282" s="74"/>
      <c r="BO282" s="74"/>
      <c r="BP282" s="74"/>
      <c r="BQ282" s="74"/>
      <c r="BR282" s="74"/>
      <c r="BS282" s="74"/>
      <c r="BT282" s="74"/>
      <c r="BU282" s="74"/>
      <c r="BV282" s="74"/>
      <c r="BW282" s="74"/>
      <c r="BX282" s="74"/>
      <c r="BY282" s="74"/>
      <c r="BZ282" s="74"/>
      <c r="CA282" s="74"/>
      <c r="CB282" s="74"/>
      <c r="CC282" s="74"/>
      <c r="CD282" s="74"/>
      <c r="CE282" s="74"/>
      <c r="CF282" s="74"/>
      <c r="CG282" s="74"/>
      <c r="CH282" s="74"/>
      <c r="CI282" s="74"/>
      <c r="CJ282" s="74"/>
      <c r="CK282" s="74"/>
      <c r="CL282" s="74"/>
      <c r="CM282" s="74"/>
      <c r="CN282" s="74"/>
      <c r="CO282" s="74"/>
      <c r="CP282" s="74"/>
      <c r="CQ282" s="74"/>
      <c r="CR282" s="74"/>
      <c r="CS282" s="74"/>
      <c r="CT282" s="74"/>
      <c r="CU282" s="74"/>
      <c r="CV282" s="74"/>
      <c r="CW282" s="74"/>
      <c r="CX282" s="74"/>
      <c r="CY282" s="74"/>
      <c r="CZ282" s="74"/>
      <c r="DA282" s="74"/>
      <c r="DB282" s="74"/>
      <c r="DC282" s="74"/>
    </row>
    <row r="283" spans="15:107" customFormat="1" x14ac:dyDescent="0.35">
      <c r="O283" s="76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  <c r="BC283" s="74"/>
      <c r="BD283" s="74"/>
      <c r="BE283" s="74"/>
      <c r="BF283" s="74"/>
      <c r="BG283" s="74"/>
      <c r="BH283" s="74"/>
      <c r="BI283" s="74"/>
      <c r="BJ283" s="74"/>
      <c r="BK283" s="74"/>
      <c r="BL283" s="74"/>
      <c r="BM283" s="74"/>
      <c r="BN283" s="74"/>
      <c r="BO283" s="74"/>
      <c r="BP283" s="74"/>
      <c r="BQ283" s="74"/>
      <c r="BR283" s="74"/>
      <c r="BS283" s="74"/>
      <c r="BT283" s="74"/>
      <c r="BU283" s="74"/>
      <c r="BV283" s="74"/>
      <c r="BW283" s="74"/>
      <c r="BX283" s="74"/>
      <c r="BY283" s="74"/>
      <c r="BZ283" s="74"/>
      <c r="CA283" s="74"/>
      <c r="CB283" s="74"/>
      <c r="CC283" s="74"/>
      <c r="CD283" s="74"/>
      <c r="CE283" s="74"/>
      <c r="CF283" s="74"/>
      <c r="CG283" s="74"/>
      <c r="CH283" s="74"/>
      <c r="CI283" s="74"/>
      <c r="CJ283" s="74"/>
      <c r="CK283" s="74"/>
      <c r="CL283" s="74"/>
      <c r="CM283" s="74"/>
      <c r="CN283" s="74"/>
      <c r="CO283" s="74"/>
      <c r="CP283" s="74"/>
      <c r="CQ283" s="74"/>
      <c r="CR283" s="74"/>
      <c r="CS283" s="74"/>
      <c r="CT283" s="74"/>
      <c r="CU283" s="74"/>
      <c r="CV283" s="74"/>
      <c r="CW283" s="74"/>
      <c r="CX283" s="74"/>
      <c r="CY283" s="74"/>
      <c r="CZ283" s="74"/>
      <c r="DA283" s="74"/>
      <c r="DB283" s="74"/>
      <c r="DC283" s="74"/>
    </row>
    <row r="284" spans="15:107" customFormat="1" x14ac:dyDescent="0.35">
      <c r="O284" s="76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  <c r="BA284" s="74"/>
      <c r="BB284" s="74"/>
      <c r="BC284" s="74"/>
      <c r="BD284" s="74"/>
      <c r="BE284" s="74"/>
      <c r="BF284" s="74"/>
      <c r="BG284" s="74"/>
      <c r="BH284" s="74"/>
      <c r="BI284" s="74"/>
      <c r="BJ284" s="74"/>
      <c r="BK284" s="74"/>
      <c r="BL284" s="74"/>
      <c r="BM284" s="74"/>
      <c r="BN284" s="74"/>
      <c r="BO284" s="74"/>
      <c r="BP284" s="74"/>
      <c r="BQ284" s="74"/>
      <c r="BR284" s="74"/>
      <c r="BS284" s="74"/>
      <c r="BT284" s="74"/>
      <c r="BU284" s="74"/>
      <c r="BV284" s="74"/>
      <c r="BW284" s="74"/>
      <c r="BX284" s="74"/>
      <c r="BY284" s="74"/>
      <c r="BZ284" s="74"/>
      <c r="CA284" s="74"/>
      <c r="CB284" s="74"/>
      <c r="CC284" s="74"/>
      <c r="CD284" s="74"/>
      <c r="CE284" s="74"/>
      <c r="CF284" s="74"/>
      <c r="CG284" s="74"/>
      <c r="CH284" s="74"/>
      <c r="CI284" s="74"/>
      <c r="CJ284" s="74"/>
      <c r="CK284" s="74"/>
      <c r="CL284" s="74"/>
      <c r="CM284" s="74"/>
      <c r="CN284" s="74"/>
      <c r="CO284" s="74"/>
      <c r="CP284" s="74"/>
      <c r="CQ284" s="74"/>
      <c r="CR284" s="74"/>
      <c r="CS284" s="74"/>
      <c r="CT284" s="74"/>
      <c r="CU284" s="74"/>
      <c r="CV284" s="74"/>
      <c r="CW284" s="74"/>
      <c r="CX284" s="74"/>
      <c r="CY284" s="74"/>
      <c r="CZ284" s="74"/>
      <c r="DA284" s="74"/>
      <c r="DB284" s="74"/>
      <c r="DC284" s="74"/>
    </row>
    <row r="285" spans="15:107" customFormat="1" x14ac:dyDescent="0.35">
      <c r="O285" s="76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  <c r="BA285" s="74"/>
      <c r="BB285" s="74"/>
      <c r="BC285" s="74"/>
      <c r="BD285" s="74"/>
      <c r="BE285" s="74"/>
      <c r="BF285" s="74"/>
      <c r="BG285" s="74"/>
      <c r="BH285" s="74"/>
      <c r="BI285" s="74"/>
      <c r="BJ285" s="74"/>
      <c r="BK285" s="74"/>
      <c r="BL285" s="74"/>
      <c r="BM285" s="74"/>
      <c r="BN285" s="74"/>
      <c r="BO285" s="74"/>
      <c r="BP285" s="74"/>
      <c r="BQ285" s="74"/>
      <c r="BR285" s="74"/>
      <c r="BS285" s="74"/>
      <c r="BT285" s="74"/>
      <c r="BU285" s="74"/>
      <c r="BV285" s="74"/>
      <c r="BW285" s="74"/>
      <c r="BX285" s="74"/>
      <c r="BY285" s="74"/>
      <c r="BZ285" s="74"/>
      <c r="CA285" s="74"/>
      <c r="CB285" s="74"/>
      <c r="CC285" s="74"/>
      <c r="CD285" s="74"/>
      <c r="CE285" s="74"/>
      <c r="CF285" s="74"/>
      <c r="CG285" s="74"/>
      <c r="CH285" s="74"/>
      <c r="CI285" s="74"/>
      <c r="CJ285" s="74"/>
      <c r="CK285" s="74"/>
      <c r="CL285" s="74"/>
      <c r="CM285" s="74"/>
      <c r="CN285" s="74"/>
      <c r="CO285" s="74"/>
      <c r="CP285" s="74"/>
      <c r="CQ285" s="74"/>
      <c r="CR285" s="74"/>
      <c r="CS285" s="74"/>
      <c r="CT285" s="74"/>
      <c r="CU285" s="74"/>
      <c r="CV285" s="74"/>
      <c r="CW285" s="74"/>
      <c r="CX285" s="74"/>
      <c r="CY285" s="74"/>
      <c r="CZ285" s="74"/>
      <c r="DA285" s="74"/>
      <c r="DB285" s="74"/>
      <c r="DC285" s="74"/>
    </row>
    <row r="286" spans="15:107" customFormat="1" x14ac:dyDescent="0.35">
      <c r="O286" s="76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74"/>
      <c r="BJ286" s="74"/>
      <c r="BK286" s="74"/>
      <c r="BL286" s="74"/>
      <c r="BM286" s="74"/>
      <c r="BN286" s="74"/>
      <c r="BO286" s="74"/>
      <c r="BP286" s="74"/>
      <c r="BQ286" s="74"/>
      <c r="BR286" s="74"/>
      <c r="BS286" s="74"/>
      <c r="BT286" s="74"/>
      <c r="BU286" s="74"/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/>
      <c r="CP286" s="74"/>
      <c r="CQ286" s="74"/>
      <c r="CR286" s="74"/>
      <c r="CS286" s="74"/>
      <c r="CT286" s="74"/>
      <c r="CU286" s="74"/>
      <c r="CV286" s="74"/>
      <c r="CW286" s="74"/>
      <c r="CX286" s="74"/>
      <c r="CY286" s="74"/>
      <c r="CZ286" s="74"/>
      <c r="DA286" s="74"/>
      <c r="DB286" s="74"/>
      <c r="DC286" s="74"/>
    </row>
    <row r="287" spans="15:107" customFormat="1" x14ac:dyDescent="0.35">
      <c r="O287" s="76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74"/>
      <c r="BJ287" s="74"/>
      <c r="BK287" s="74"/>
      <c r="BL287" s="74"/>
      <c r="BM287" s="74"/>
      <c r="BN287" s="74"/>
      <c r="BO287" s="74"/>
      <c r="BP287" s="74"/>
      <c r="BQ287" s="74"/>
      <c r="BR287" s="74"/>
      <c r="BS287" s="74"/>
      <c r="BT287" s="74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74"/>
      <c r="CU287" s="74"/>
      <c r="CV287" s="74"/>
      <c r="CW287" s="74"/>
      <c r="CX287" s="74"/>
      <c r="CY287" s="74"/>
      <c r="CZ287" s="74"/>
      <c r="DA287" s="74"/>
      <c r="DB287" s="74"/>
      <c r="DC287" s="74"/>
    </row>
    <row r="288" spans="15:107" customFormat="1" x14ac:dyDescent="0.35">
      <c r="O288" s="76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  <c r="BA288" s="74"/>
      <c r="BB288" s="74"/>
      <c r="BC288" s="74"/>
      <c r="BD288" s="74"/>
      <c r="BE288" s="74"/>
      <c r="BF288" s="74"/>
      <c r="BG288" s="74"/>
      <c r="BH288" s="74"/>
      <c r="BI288" s="74"/>
      <c r="BJ288" s="74"/>
      <c r="BK288" s="74"/>
      <c r="BL288" s="74"/>
      <c r="BM288" s="74"/>
      <c r="BN288" s="74"/>
      <c r="BO288" s="74"/>
      <c r="BP288" s="74"/>
      <c r="BQ288" s="74"/>
      <c r="BR288" s="74"/>
      <c r="BS288" s="74"/>
      <c r="BT288" s="74"/>
      <c r="BU288" s="74"/>
      <c r="BV288" s="74"/>
      <c r="BW288" s="74"/>
      <c r="BX288" s="74"/>
      <c r="BY288" s="74"/>
      <c r="BZ288" s="74"/>
      <c r="CA288" s="74"/>
      <c r="CB288" s="74"/>
      <c r="CC288" s="74"/>
      <c r="CD288" s="74"/>
      <c r="CE288" s="74"/>
      <c r="CF288" s="74"/>
      <c r="CG288" s="74"/>
      <c r="CH288" s="74"/>
      <c r="CI288" s="74"/>
      <c r="CJ288" s="74"/>
      <c r="CK288" s="74"/>
      <c r="CL288" s="74"/>
      <c r="CM288" s="74"/>
      <c r="CN288" s="74"/>
      <c r="CO288" s="74"/>
      <c r="CP288" s="74"/>
      <c r="CQ288" s="74"/>
      <c r="CR288" s="74"/>
      <c r="CS288" s="74"/>
      <c r="CT288" s="74"/>
      <c r="CU288" s="74"/>
      <c r="CV288" s="74"/>
      <c r="CW288" s="74"/>
      <c r="CX288" s="74"/>
      <c r="CY288" s="74"/>
      <c r="CZ288" s="74"/>
      <c r="DA288" s="74"/>
      <c r="DB288" s="74"/>
      <c r="DC288" s="74"/>
    </row>
    <row r="289" spans="15:107" customFormat="1" x14ac:dyDescent="0.35">
      <c r="O289" s="76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  <c r="BA289" s="74"/>
      <c r="BB289" s="74"/>
      <c r="BC289" s="74"/>
      <c r="BD289" s="74"/>
      <c r="BE289" s="74"/>
      <c r="BF289" s="74"/>
      <c r="BG289" s="74"/>
      <c r="BH289" s="74"/>
      <c r="BI289" s="74"/>
      <c r="BJ289" s="74"/>
      <c r="BK289" s="74"/>
      <c r="BL289" s="74"/>
      <c r="BM289" s="74"/>
      <c r="BN289" s="74"/>
      <c r="BO289" s="74"/>
      <c r="BP289" s="74"/>
      <c r="BQ289" s="74"/>
      <c r="BR289" s="74"/>
      <c r="BS289" s="74"/>
      <c r="BT289" s="74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74"/>
      <c r="CU289" s="74"/>
      <c r="CV289" s="74"/>
      <c r="CW289" s="74"/>
      <c r="CX289" s="74"/>
      <c r="CY289" s="74"/>
      <c r="CZ289" s="74"/>
      <c r="DA289" s="74"/>
      <c r="DB289" s="74"/>
      <c r="DC289" s="74"/>
    </row>
    <row r="290" spans="15:107" customFormat="1" x14ac:dyDescent="0.35">
      <c r="O290" s="76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74"/>
      <c r="CU290" s="74"/>
      <c r="CV290" s="74"/>
      <c r="CW290" s="74"/>
      <c r="CX290" s="74"/>
      <c r="CY290" s="74"/>
      <c r="CZ290" s="74"/>
      <c r="DA290" s="74"/>
      <c r="DB290" s="74"/>
      <c r="DC290" s="74"/>
    </row>
    <row r="291" spans="15:107" customFormat="1" x14ac:dyDescent="0.35">
      <c r="O291" s="76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74"/>
      <c r="CU291" s="74"/>
      <c r="CV291" s="74"/>
      <c r="CW291" s="74"/>
      <c r="CX291" s="74"/>
      <c r="CY291" s="74"/>
      <c r="CZ291" s="74"/>
      <c r="DA291" s="74"/>
      <c r="DB291" s="74"/>
      <c r="DC291" s="74"/>
    </row>
    <row r="292" spans="15:107" customFormat="1" x14ac:dyDescent="0.35">
      <c r="O292" s="76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74"/>
      <c r="CU292" s="74"/>
      <c r="CV292" s="74"/>
      <c r="CW292" s="74"/>
      <c r="CX292" s="74"/>
      <c r="CY292" s="74"/>
      <c r="CZ292" s="74"/>
      <c r="DA292" s="74"/>
      <c r="DB292" s="74"/>
      <c r="DC292" s="74"/>
    </row>
    <row r="293" spans="15:107" customFormat="1" x14ac:dyDescent="0.35">
      <c r="O293" s="76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74"/>
      <c r="CU293" s="74"/>
      <c r="CV293" s="74"/>
      <c r="CW293" s="74"/>
      <c r="CX293" s="74"/>
      <c r="CY293" s="74"/>
      <c r="CZ293" s="74"/>
      <c r="DA293" s="74"/>
      <c r="DB293" s="74"/>
      <c r="DC293" s="74"/>
    </row>
    <row r="294" spans="15:107" customFormat="1" x14ac:dyDescent="0.35">
      <c r="O294" s="76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74"/>
      <c r="CU294" s="74"/>
      <c r="CV294" s="74"/>
      <c r="CW294" s="74"/>
      <c r="CX294" s="74"/>
      <c r="CY294" s="74"/>
      <c r="CZ294" s="74"/>
      <c r="DA294" s="74"/>
      <c r="DB294" s="74"/>
      <c r="DC294" s="74"/>
    </row>
    <row r="295" spans="15:107" customFormat="1" x14ac:dyDescent="0.35">
      <c r="O295" s="76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74"/>
      <c r="CU295" s="74"/>
      <c r="CV295" s="74"/>
      <c r="CW295" s="74"/>
      <c r="CX295" s="74"/>
      <c r="CY295" s="74"/>
      <c r="CZ295" s="74"/>
      <c r="DA295" s="74"/>
      <c r="DB295" s="74"/>
      <c r="DC295" s="74"/>
    </row>
    <row r="296" spans="15:107" customFormat="1" x14ac:dyDescent="0.35">
      <c r="O296" s="76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74"/>
      <c r="CU296" s="74"/>
      <c r="CV296" s="74"/>
      <c r="CW296" s="74"/>
      <c r="CX296" s="74"/>
      <c r="CY296" s="74"/>
      <c r="CZ296" s="74"/>
      <c r="DA296" s="74"/>
      <c r="DB296" s="74"/>
      <c r="DC296" s="74"/>
    </row>
    <row r="297" spans="15:107" customFormat="1" x14ac:dyDescent="0.35">
      <c r="O297" s="76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74"/>
      <c r="CU297" s="74"/>
      <c r="CV297" s="74"/>
      <c r="CW297" s="74"/>
      <c r="CX297" s="74"/>
      <c r="CY297" s="74"/>
      <c r="CZ297" s="74"/>
      <c r="DA297" s="74"/>
      <c r="DB297" s="74"/>
      <c r="DC297" s="74"/>
    </row>
    <row r="298" spans="15:107" customFormat="1" x14ac:dyDescent="0.35">
      <c r="O298" s="76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74"/>
      <c r="CU298" s="74"/>
      <c r="CV298" s="74"/>
      <c r="CW298" s="74"/>
      <c r="CX298" s="74"/>
      <c r="CY298" s="74"/>
      <c r="CZ298" s="74"/>
      <c r="DA298" s="74"/>
      <c r="DB298" s="74"/>
      <c r="DC298" s="74"/>
    </row>
    <row r="299" spans="15:107" customFormat="1" x14ac:dyDescent="0.35">
      <c r="O299" s="76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74"/>
      <c r="CU299" s="74"/>
      <c r="CV299" s="74"/>
      <c r="CW299" s="74"/>
      <c r="CX299" s="74"/>
      <c r="CY299" s="74"/>
      <c r="CZ299" s="74"/>
      <c r="DA299" s="74"/>
      <c r="DB299" s="74"/>
      <c r="DC299" s="74"/>
    </row>
    <row r="300" spans="15:107" customFormat="1" x14ac:dyDescent="0.35">
      <c r="O300" s="76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74"/>
      <c r="BM300" s="74"/>
      <c r="BN300" s="74"/>
      <c r="BO300" s="74"/>
      <c r="BP300" s="74"/>
      <c r="BQ300" s="74"/>
      <c r="BR300" s="74"/>
      <c r="BS300" s="74"/>
      <c r="BT300" s="74"/>
      <c r="BU300" s="74"/>
      <c r="BV300" s="74"/>
      <c r="BW300" s="74"/>
      <c r="BX300" s="74"/>
      <c r="BY300" s="74"/>
      <c r="BZ300" s="74"/>
      <c r="CA300" s="74"/>
      <c r="CB300" s="74"/>
      <c r="CC300" s="74"/>
      <c r="CD300" s="74"/>
      <c r="CE300" s="74"/>
      <c r="CF300" s="74"/>
      <c r="CG300" s="74"/>
      <c r="CH300" s="74"/>
      <c r="CI300" s="74"/>
      <c r="CJ300" s="74"/>
      <c r="CK300" s="74"/>
      <c r="CL300" s="74"/>
      <c r="CM300" s="74"/>
      <c r="CN300" s="74"/>
      <c r="CO300" s="74"/>
      <c r="CP300" s="74"/>
      <c r="CQ300" s="74"/>
      <c r="CR300" s="74"/>
      <c r="CS300" s="74"/>
      <c r="CT300" s="74"/>
      <c r="CU300" s="74"/>
      <c r="CV300" s="74"/>
      <c r="CW300" s="74"/>
      <c r="CX300" s="74"/>
      <c r="CY300" s="74"/>
      <c r="CZ300" s="74"/>
      <c r="DA300" s="74"/>
      <c r="DB300" s="74"/>
      <c r="DC300" s="74"/>
    </row>
    <row r="301" spans="15:107" customFormat="1" x14ac:dyDescent="0.35">
      <c r="O301" s="76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  <c r="BC301" s="74"/>
      <c r="BD301" s="74"/>
      <c r="BE301" s="74"/>
      <c r="BF301" s="74"/>
      <c r="BG301" s="74"/>
      <c r="BH301" s="74"/>
      <c r="BI301" s="74"/>
      <c r="BJ301" s="74"/>
      <c r="BK301" s="74"/>
      <c r="BL301" s="74"/>
      <c r="BM301" s="74"/>
      <c r="BN301" s="74"/>
      <c r="BO301" s="74"/>
      <c r="BP301" s="74"/>
      <c r="BQ301" s="74"/>
      <c r="BR301" s="74"/>
      <c r="BS301" s="74"/>
      <c r="BT301" s="74"/>
      <c r="BU301" s="74"/>
      <c r="BV301" s="74"/>
      <c r="BW301" s="74"/>
      <c r="BX301" s="74"/>
      <c r="BY301" s="74"/>
      <c r="BZ301" s="74"/>
      <c r="CA301" s="74"/>
      <c r="CB301" s="74"/>
      <c r="CC301" s="74"/>
      <c r="CD301" s="74"/>
      <c r="CE301" s="74"/>
      <c r="CF301" s="74"/>
      <c r="CG301" s="74"/>
      <c r="CH301" s="74"/>
      <c r="CI301" s="74"/>
      <c r="CJ301" s="74"/>
      <c r="CK301" s="74"/>
      <c r="CL301" s="74"/>
      <c r="CM301" s="74"/>
      <c r="CN301" s="74"/>
      <c r="CO301" s="74"/>
      <c r="CP301" s="74"/>
      <c r="CQ301" s="74"/>
      <c r="CR301" s="74"/>
      <c r="CS301" s="74"/>
      <c r="CT301" s="74"/>
      <c r="CU301" s="74"/>
      <c r="CV301" s="74"/>
      <c r="CW301" s="74"/>
      <c r="CX301" s="74"/>
      <c r="CY301" s="74"/>
      <c r="CZ301" s="74"/>
      <c r="DA301" s="74"/>
      <c r="DB301" s="74"/>
      <c r="DC301" s="74"/>
    </row>
    <row r="302" spans="15:107" customFormat="1" x14ac:dyDescent="0.35">
      <c r="O302" s="76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</row>
    <row r="303" spans="15:107" customFormat="1" x14ac:dyDescent="0.35">
      <c r="O303" s="76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  <c r="CD303" s="74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74"/>
      <c r="CR303" s="74"/>
      <c r="CS303" s="74"/>
      <c r="CT303" s="74"/>
      <c r="CU303" s="74"/>
      <c r="CV303" s="74"/>
      <c r="CW303" s="74"/>
      <c r="CX303" s="74"/>
      <c r="CY303" s="74"/>
      <c r="CZ303" s="74"/>
      <c r="DA303" s="74"/>
      <c r="DB303" s="74"/>
      <c r="DC303" s="74"/>
    </row>
    <row r="304" spans="15:107" customFormat="1" x14ac:dyDescent="0.35">
      <c r="O304" s="76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  <c r="BC304" s="74"/>
      <c r="BD304" s="74"/>
      <c r="BE304" s="74"/>
      <c r="BF304" s="74"/>
      <c r="BG304" s="74"/>
      <c r="BH304" s="74"/>
      <c r="BI304" s="74"/>
      <c r="BJ304" s="74"/>
      <c r="BK304" s="74"/>
      <c r="BL304" s="74"/>
      <c r="BM304" s="74"/>
      <c r="BN304" s="74"/>
      <c r="BO304" s="74"/>
      <c r="BP304" s="74"/>
      <c r="BQ304" s="74"/>
      <c r="BR304" s="74"/>
      <c r="BS304" s="74"/>
      <c r="BT304" s="74"/>
      <c r="BU304" s="74"/>
      <c r="BV304" s="74"/>
      <c r="BW304" s="74"/>
      <c r="BX304" s="74"/>
      <c r="BY304" s="74"/>
      <c r="BZ304" s="74"/>
      <c r="CA304" s="74"/>
      <c r="CB304" s="74"/>
      <c r="CC304" s="74"/>
      <c r="CD304" s="74"/>
      <c r="CE304" s="74"/>
      <c r="CF304" s="74"/>
      <c r="CG304" s="74"/>
      <c r="CH304" s="74"/>
      <c r="CI304" s="74"/>
      <c r="CJ304" s="74"/>
      <c r="CK304" s="74"/>
      <c r="CL304" s="74"/>
      <c r="CM304" s="74"/>
      <c r="CN304" s="74"/>
      <c r="CO304" s="74"/>
      <c r="CP304" s="74"/>
      <c r="CQ304" s="74"/>
      <c r="CR304" s="74"/>
      <c r="CS304" s="74"/>
      <c r="CT304" s="74"/>
      <c r="CU304" s="74"/>
      <c r="CV304" s="74"/>
      <c r="CW304" s="74"/>
      <c r="CX304" s="74"/>
      <c r="CY304" s="74"/>
      <c r="CZ304" s="74"/>
      <c r="DA304" s="74"/>
      <c r="DB304" s="74"/>
      <c r="DC304" s="74"/>
    </row>
    <row r="305" spans="15:107" customFormat="1" x14ac:dyDescent="0.35">
      <c r="O305" s="76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  <c r="CD305" s="74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74"/>
      <c r="CR305" s="74"/>
      <c r="CS305" s="74"/>
      <c r="CT305" s="74"/>
      <c r="CU305" s="74"/>
      <c r="CV305" s="74"/>
      <c r="CW305" s="74"/>
      <c r="CX305" s="74"/>
      <c r="CY305" s="74"/>
      <c r="CZ305" s="74"/>
      <c r="DA305" s="74"/>
      <c r="DB305" s="74"/>
      <c r="DC305" s="74"/>
    </row>
    <row r="306" spans="15:107" customFormat="1" x14ac:dyDescent="0.35">
      <c r="O306" s="76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  <c r="BA306" s="74"/>
      <c r="BB306" s="74"/>
      <c r="BC306" s="74"/>
      <c r="BD306" s="74"/>
      <c r="BE306" s="74"/>
      <c r="BF306" s="74"/>
      <c r="BG306" s="74"/>
      <c r="BH306" s="74"/>
      <c r="BI306" s="74"/>
      <c r="BJ306" s="74"/>
      <c r="BK306" s="74"/>
      <c r="BL306" s="74"/>
      <c r="BM306" s="74"/>
      <c r="BN306" s="74"/>
      <c r="BO306" s="74"/>
      <c r="BP306" s="74"/>
      <c r="BQ306" s="74"/>
      <c r="BR306" s="74"/>
      <c r="BS306" s="74"/>
      <c r="BT306" s="74"/>
      <c r="BU306" s="74"/>
      <c r="BV306" s="74"/>
      <c r="BW306" s="74"/>
      <c r="BX306" s="74"/>
      <c r="BY306" s="74"/>
      <c r="BZ306" s="74"/>
      <c r="CA306" s="74"/>
      <c r="CB306" s="74"/>
      <c r="CC306" s="74"/>
      <c r="CD306" s="74"/>
      <c r="CE306" s="74"/>
      <c r="CF306" s="74"/>
      <c r="CG306" s="74"/>
      <c r="CH306" s="74"/>
      <c r="CI306" s="74"/>
      <c r="CJ306" s="74"/>
      <c r="CK306" s="74"/>
      <c r="CL306" s="74"/>
      <c r="CM306" s="74"/>
      <c r="CN306" s="74"/>
      <c r="CO306" s="74"/>
      <c r="CP306" s="74"/>
      <c r="CQ306" s="74"/>
      <c r="CR306" s="74"/>
      <c r="CS306" s="74"/>
      <c r="CT306" s="74"/>
      <c r="CU306" s="74"/>
      <c r="CV306" s="74"/>
      <c r="CW306" s="74"/>
      <c r="CX306" s="74"/>
      <c r="CY306" s="74"/>
      <c r="CZ306" s="74"/>
      <c r="DA306" s="74"/>
      <c r="DB306" s="74"/>
      <c r="DC306" s="74"/>
    </row>
    <row r="307" spans="15:107" customFormat="1" x14ac:dyDescent="0.35">
      <c r="O307" s="76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  <c r="BA307" s="74"/>
      <c r="BB307" s="74"/>
      <c r="BC307" s="74"/>
      <c r="BD307" s="74"/>
      <c r="BE307" s="74"/>
      <c r="BF307" s="74"/>
      <c r="BG307" s="74"/>
      <c r="BH307" s="74"/>
      <c r="BI307" s="74"/>
      <c r="BJ307" s="74"/>
      <c r="BK307" s="74"/>
      <c r="BL307" s="74"/>
      <c r="BM307" s="74"/>
      <c r="BN307" s="74"/>
      <c r="BO307" s="74"/>
      <c r="BP307" s="74"/>
      <c r="BQ307" s="74"/>
      <c r="BR307" s="74"/>
      <c r="BS307" s="74"/>
      <c r="BT307" s="74"/>
      <c r="BU307" s="74"/>
      <c r="BV307" s="74"/>
      <c r="BW307" s="74"/>
      <c r="BX307" s="74"/>
      <c r="BY307" s="74"/>
      <c r="BZ307" s="74"/>
      <c r="CA307" s="74"/>
      <c r="CB307" s="74"/>
      <c r="CC307" s="74"/>
      <c r="CD307" s="74"/>
      <c r="CE307" s="74"/>
      <c r="CF307" s="74"/>
      <c r="CG307" s="74"/>
      <c r="CH307" s="74"/>
      <c r="CI307" s="74"/>
      <c r="CJ307" s="74"/>
      <c r="CK307" s="74"/>
      <c r="CL307" s="74"/>
      <c r="CM307" s="74"/>
      <c r="CN307" s="74"/>
      <c r="CO307" s="74"/>
      <c r="CP307" s="74"/>
      <c r="CQ307" s="74"/>
      <c r="CR307" s="74"/>
      <c r="CS307" s="74"/>
      <c r="CT307" s="74"/>
      <c r="CU307" s="74"/>
      <c r="CV307" s="74"/>
      <c r="CW307" s="74"/>
      <c r="CX307" s="74"/>
      <c r="CY307" s="74"/>
      <c r="CZ307" s="74"/>
      <c r="DA307" s="74"/>
      <c r="DB307" s="74"/>
      <c r="DC307" s="74"/>
    </row>
    <row r="308" spans="15:107" customFormat="1" x14ac:dyDescent="0.35">
      <c r="O308" s="76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  <c r="AZ308" s="74"/>
      <c r="BA308" s="74"/>
      <c r="BB308" s="74"/>
      <c r="BC308" s="74"/>
      <c r="BD308" s="74"/>
      <c r="BE308" s="74"/>
      <c r="BF308" s="74"/>
      <c r="BG308" s="74"/>
      <c r="BH308" s="74"/>
      <c r="BI308" s="74"/>
      <c r="BJ308" s="74"/>
      <c r="BK308" s="74"/>
      <c r="BL308" s="74"/>
      <c r="BM308" s="74"/>
      <c r="BN308" s="74"/>
      <c r="BO308" s="74"/>
      <c r="BP308" s="74"/>
      <c r="BQ308" s="74"/>
      <c r="BR308" s="74"/>
      <c r="BS308" s="74"/>
      <c r="BT308" s="74"/>
      <c r="BU308" s="74"/>
      <c r="BV308" s="74"/>
      <c r="BW308" s="74"/>
      <c r="BX308" s="74"/>
      <c r="BY308" s="74"/>
      <c r="BZ308" s="74"/>
      <c r="CA308" s="74"/>
      <c r="CB308" s="74"/>
      <c r="CC308" s="74"/>
      <c r="CD308" s="74"/>
      <c r="CE308" s="74"/>
      <c r="CF308" s="74"/>
      <c r="CG308" s="74"/>
      <c r="CH308" s="74"/>
      <c r="CI308" s="74"/>
      <c r="CJ308" s="74"/>
      <c r="CK308" s="74"/>
      <c r="CL308" s="74"/>
      <c r="CM308" s="74"/>
      <c r="CN308" s="74"/>
      <c r="CO308" s="74"/>
      <c r="CP308" s="74"/>
      <c r="CQ308" s="74"/>
      <c r="CR308" s="74"/>
      <c r="CS308" s="74"/>
      <c r="CT308" s="74"/>
      <c r="CU308" s="74"/>
      <c r="CV308" s="74"/>
      <c r="CW308" s="74"/>
      <c r="CX308" s="74"/>
      <c r="CY308" s="74"/>
      <c r="CZ308" s="74"/>
      <c r="DA308" s="74"/>
      <c r="DB308" s="74"/>
      <c r="DC308" s="74"/>
    </row>
    <row r="309" spans="15:107" customFormat="1" x14ac:dyDescent="0.35">
      <c r="O309" s="76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  <c r="BC309" s="74"/>
      <c r="BD309" s="74"/>
      <c r="BE309" s="74"/>
      <c r="BF309" s="74"/>
      <c r="BG309" s="74"/>
      <c r="BH309" s="74"/>
      <c r="BI309" s="74"/>
      <c r="BJ309" s="74"/>
      <c r="BK309" s="74"/>
      <c r="BL309" s="74"/>
      <c r="BM309" s="74"/>
      <c r="BN309" s="74"/>
      <c r="BO309" s="74"/>
      <c r="BP309" s="74"/>
      <c r="BQ309" s="74"/>
      <c r="BR309" s="74"/>
      <c r="BS309" s="74"/>
      <c r="BT309" s="74"/>
      <c r="BU309" s="74"/>
      <c r="BV309" s="74"/>
      <c r="BW309" s="74"/>
      <c r="BX309" s="74"/>
      <c r="BY309" s="74"/>
      <c r="BZ309" s="74"/>
      <c r="CA309" s="74"/>
      <c r="CB309" s="74"/>
      <c r="CC309" s="74"/>
      <c r="CD309" s="74"/>
      <c r="CE309" s="74"/>
      <c r="CF309" s="74"/>
      <c r="CG309" s="74"/>
      <c r="CH309" s="74"/>
      <c r="CI309" s="74"/>
      <c r="CJ309" s="74"/>
      <c r="CK309" s="74"/>
      <c r="CL309" s="74"/>
      <c r="CM309" s="74"/>
      <c r="CN309" s="74"/>
      <c r="CO309" s="74"/>
      <c r="CP309" s="74"/>
      <c r="CQ309" s="74"/>
      <c r="CR309" s="74"/>
      <c r="CS309" s="74"/>
      <c r="CT309" s="74"/>
      <c r="CU309" s="74"/>
      <c r="CV309" s="74"/>
      <c r="CW309" s="74"/>
      <c r="CX309" s="74"/>
      <c r="CY309" s="74"/>
      <c r="CZ309" s="74"/>
      <c r="DA309" s="74"/>
      <c r="DB309" s="74"/>
      <c r="DC309" s="74"/>
    </row>
    <row r="310" spans="15:107" customFormat="1" x14ac:dyDescent="0.35">
      <c r="O310" s="76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  <c r="BC310" s="74"/>
      <c r="BD310" s="74"/>
      <c r="BE310" s="74"/>
      <c r="BF310" s="74"/>
      <c r="BG310" s="74"/>
      <c r="BH310" s="74"/>
      <c r="BI310" s="74"/>
      <c r="BJ310" s="74"/>
      <c r="BK310" s="74"/>
      <c r="BL310" s="74"/>
      <c r="BM310" s="74"/>
      <c r="BN310" s="74"/>
      <c r="BO310" s="74"/>
      <c r="BP310" s="74"/>
      <c r="BQ310" s="74"/>
      <c r="BR310" s="74"/>
      <c r="BS310" s="74"/>
      <c r="BT310" s="74"/>
      <c r="BU310" s="74"/>
      <c r="BV310" s="74"/>
      <c r="BW310" s="74"/>
      <c r="BX310" s="74"/>
      <c r="BY310" s="74"/>
      <c r="BZ310" s="74"/>
      <c r="CA310" s="74"/>
      <c r="CB310" s="74"/>
      <c r="CC310" s="74"/>
      <c r="CD310" s="74"/>
      <c r="CE310" s="74"/>
      <c r="CF310" s="74"/>
      <c r="CG310" s="74"/>
      <c r="CH310" s="74"/>
      <c r="CI310" s="74"/>
      <c r="CJ310" s="74"/>
      <c r="CK310" s="74"/>
      <c r="CL310" s="74"/>
      <c r="CM310" s="74"/>
      <c r="CN310" s="74"/>
      <c r="CO310" s="74"/>
      <c r="CP310" s="74"/>
      <c r="CQ310" s="74"/>
      <c r="CR310" s="74"/>
      <c r="CS310" s="74"/>
      <c r="CT310" s="74"/>
      <c r="CU310" s="74"/>
      <c r="CV310" s="74"/>
      <c r="CW310" s="74"/>
      <c r="CX310" s="74"/>
      <c r="CY310" s="74"/>
      <c r="CZ310" s="74"/>
      <c r="DA310" s="74"/>
      <c r="DB310" s="74"/>
      <c r="DC310" s="74"/>
    </row>
    <row r="311" spans="15:107" customFormat="1" x14ac:dyDescent="0.35">
      <c r="O311" s="76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  <c r="BA311" s="74"/>
      <c r="BB311" s="74"/>
      <c r="BC311" s="74"/>
      <c r="BD311" s="74"/>
      <c r="BE311" s="74"/>
      <c r="BF311" s="74"/>
      <c r="BG311" s="74"/>
      <c r="BH311" s="74"/>
      <c r="BI311" s="74"/>
      <c r="BJ311" s="74"/>
      <c r="BK311" s="74"/>
      <c r="BL311" s="74"/>
      <c r="BM311" s="74"/>
      <c r="BN311" s="74"/>
      <c r="BO311" s="74"/>
      <c r="BP311" s="74"/>
      <c r="BQ311" s="74"/>
      <c r="BR311" s="74"/>
      <c r="BS311" s="74"/>
      <c r="BT311" s="74"/>
      <c r="BU311" s="74"/>
      <c r="BV311" s="74"/>
      <c r="BW311" s="74"/>
      <c r="BX311" s="74"/>
      <c r="BY311" s="74"/>
      <c r="BZ311" s="74"/>
      <c r="CA311" s="74"/>
      <c r="CB311" s="74"/>
      <c r="CC311" s="74"/>
      <c r="CD311" s="74"/>
      <c r="CE311" s="74"/>
      <c r="CF311" s="74"/>
      <c r="CG311" s="74"/>
      <c r="CH311" s="74"/>
      <c r="CI311" s="74"/>
      <c r="CJ311" s="74"/>
      <c r="CK311" s="74"/>
      <c r="CL311" s="74"/>
      <c r="CM311" s="74"/>
      <c r="CN311" s="74"/>
      <c r="CO311" s="74"/>
      <c r="CP311" s="74"/>
      <c r="CQ311" s="74"/>
      <c r="CR311" s="74"/>
      <c r="CS311" s="74"/>
      <c r="CT311" s="74"/>
      <c r="CU311" s="74"/>
      <c r="CV311" s="74"/>
      <c r="CW311" s="74"/>
      <c r="CX311" s="74"/>
      <c r="CY311" s="74"/>
      <c r="CZ311" s="74"/>
      <c r="DA311" s="74"/>
      <c r="DB311" s="74"/>
      <c r="DC311" s="74"/>
    </row>
    <row r="312" spans="15:107" customFormat="1" x14ac:dyDescent="0.35">
      <c r="O312" s="76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  <c r="BA312" s="74"/>
      <c r="BB312" s="74"/>
      <c r="BC312" s="74"/>
      <c r="BD312" s="74"/>
      <c r="BE312" s="74"/>
      <c r="BF312" s="74"/>
      <c r="BG312" s="74"/>
      <c r="BH312" s="74"/>
      <c r="BI312" s="74"/>
      <c r="BJ312" s="74"/>
      <c r="BK312" s="74"/>
      <c r="BL312" s="74"/>
      <c r="BM312" s="74"/>
      <c r="BN312" s="74"/>
      <c r="BO312" s="74"/>
      <c r="BP312" s="74"/>
      <c r="BQ312" s="74"/>
      <c r="BR312" s="74"/>
      <c r="BS312" s="74"/>
      <c r="BT312" s="74"/>
      <c r="BU312" s="74"/>
      <c r="BV312" s="74"/>
      <c r="BW312" s="74"/>
      <c r="BX312" s="74"/>
      <c r="BY312" s="74"/>
      <c r="BZ312" s="74"/>
      <c r="CA312" s="74"/>
      <c r="CB312" s="74"/>
      <c r="CC312" s="74"/>
      <c r="CD312" s="74"/>
      <c r="CE312" s="74"/>
      <c r="CF312" s="74"/>
      <c r="CG312" s="74"/>
      <c r="CH312" s="74"/>
      <c r="CI312" s="74"/>
      <c r="CJ312" s="74"/>
      <c r="CK312" s="74"/>
      <c r="CL312" s="74"/>
      <c r="CM312" s="74"/>
      <c r="CN312" s="74"/>
      <c r="CO312" s="74"/>
      <c r="CP312" s="74"/>
      <c r="CQ312" s="74"/>
      <c r="CR312" s="74"/>
      <c r="CS312" s="74"/>
      <c r="CT312" s="74"/>
      <c r="CU312" s="74"/>
      <c r="CV312" s="74"/>
      <c r="CW312" s="74"/>
      <c r="CX312" s="74"/>
      <c r="CY312" s="74"/>
      <c r="CZ312" s="74"/>
      <c r="DA312" s="74"/>
      <c r="DB312" s="74"/>
      <c r="DC312" s="74"/>
    </row>
    <row r="313" spans="15:107" customFormat="1" x14ac:dyDescent="0.35">
      <c r="O313" s="76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  <c r="BA313" s="74"/>
      <c r="BB313" s="74"/>
      <c r="BC313" s="74"/>
      <c r="BD313" s="74"/>
      <c r="BE313" s="74"/>
      <c r="BF313" s="74"/>
      <c r="BG313" s="74"/>
      <c r="BH313" s="74"/>
      <c r="BI313" s="74"/>
      <c r="BJ313" s="74"/>
      <c r="BK313" s="74"/>
      <c r="BL313" s="74"/>
      <c r="BM313" s="74"/>
      <c r="BN313" s="74"/>
      <c r="BO313" s="74"/>
      <c r="BP313" s="74"/>
      <c r="BQ313" s="74"/>
      <c r="BR313" s="74"/>
      <c r="BS313" s="74"/>
      <c r="BT313" s="74"/>
      <c r="BU313" s="74"/>
      <c r="BV313" s="74"/>
      <c r="BW313" s="74"/>
      <c r="BX313" s="74"/>
      <c r="BY313" s="74"/>
      <c r="BZ313" s="74"/>
      <c r="CA313" s="74"/>
      <c r="CB313" s="74"/>
      <c r="CC313" s="74"/>
      <c r="CD313" s="74"/>
      <c r="CE313" s="74"/>
      <c r="CF313" s="74"/>
      <c r="CG313" s="74"/>
      <c r="CH313" s="74"/>
      <c r="CI313" s="74"/>
      <c r="CJ313" s="74"/>
      <c r="CK313" s="74"/>
      <c r="CL313" s="74"/>
      <c r="CM313" s="74"/>
      <c r="CN313" s="74"/>
      <c r="CO313" s="74"/>
      <c r="CP313" s="74"/>
      <c r="CQ313" s="74"/>
      <c r="CR313" s="74"/>
      <c r="CS313" s="74"/>
      <c r="CT313" s="74"/>
      <c r="CU313" s="74"/>
      <c r="CV313" s="74"/>
      <c r="CW313" s="74"/>
      <c r="CX313" s="74"/>
      <c r="CY313" s="74"/>
      <c r="CZ313" s="74"/>
      <c r="DA313" s="74"/>
      <c r="DB313" s="74"/>
      <c r="DC313" s="74"/>
    </row>
    <row r="314" spans="15:107" customFormat="1" x14ac:dyDescent="0.35">
      <c r="O314" s="76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  <c r="BA314" s="74"/>
      <c r="BB314" s="74"/>
      <c r="BC314" s="74"/>
      <c r="BD314" s="74"/>
      <c r="BE314" s="74"/>
      <c r="BF314" s="74"/>
      <c r="BG314" s="74"/>
      <c r="BH314" s="74"/>
      <c r="BI314" s="74"/>
      <c r="BJ314" s="74"/>
      <c r="BK314" s="74"/>
      <c r="BL314" s="74"/>
      <c r="BM314" s="74"/>
      <c r="BN314" s="74"/>
      <c r="BO314" s="74"/>
      <c r="BP314" s="74"/>
      <c r="BQ314" s="74"/>
      <c r="BR314" s="74"/>
      <c r="BS314" s="74"/>
      <c r="BT314" s="74"/>
      <c r="BU314" s="74"/>
      <c r="BV314" s="74"/>
      <c r="BW314" s="74"/>
      <c r="BX314" s="74"/>
      <c r="BY314" s="74"/>
      <c r="BZ314" s="74"/>
      <c r="CA314" s="74"/>
      <c r="CB314" s="74"/>
      <c r="CC314" s="74"/>
      <c r="CD314" s="74"/>
      <c r="CE314" s="74"/>
      <c r="CF314" s="74"/>
      <c r="CG314" s="74"/>
      <c r="CH314" s="74"/>
      <c r="CI314" s="74"/>
      <c r="CJ314" s="74"/>
      <c r="CK314" s="74"/>
      <c r="CL314" s="74"/>
      <c r="CM314" s="74"/>
      <c r="CN314" s="74"/>
      <c r="CO314" s="74"/>
      <c r="CP314" s="74"/>
      <c r="CQ314" s="74"/>
      <c r="CR314" s="74"/>
      <c r="CS314" s="74"/>
      <c r="CT314" s="74"/>
      <c r="CU314" s="74"/>
      <c r="CV314" s="74"/>
      <c r="CW314" s="74"/>
      <c r="CX314" s="74"/>
      <c r="CY314" s="74"/>
      <c r="CZ314" s="74"/>
      <c r="DA314" s="74"/>
      <c r="DB314" s="74"/>
      <c r="DC314" s="74"/>
    </row>
    <row r="315" spans="15:107" customFormat="1" x14ac:dyDescent="0.35">
      <c r="O315" s="76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74"/>
      <c r="BM315" s="74"/>
      <c r="BN315" s="74"/>
      <c r="BO315" s="74"/>
      <c r="BP315" s="74"/>
      <c r="BQ315" s="74"/>
      <c r="BR315" s="74"/>
      <c r="BS315" s="74"/>
      <c r="BT315" s="74"/>
      <c r="BU315" s="74"/>
      <c r="BV315" s="74"/>
      <c r="BW315" s="74"/>
      <c r="BX315" s="74"/>
      <c r="BY315" s="74"/>
      <c r="BZ315" s="74"/>
      <c r="CA315" s="74"/>
      <c r="CB315" s="74"/>
      <c r="CC315" s="74"/>
      <c r="CD315" s="74"/>
      <c r="CE315" s="74"/>
      <c r="CF315" s="74"/>
      <c r="CG315" s="74"/>
      <c r="CH315" s="74"/>
      <c r="CI315" s="74"/>
      <c r="CJ315" s="74"/>
      <c r="CK315" s="74"/>
      <c r="CL315" s="74"/>
      <c r="CM315" s="74"/>
      <c r="CN315" s="74"/>
      <c r="CO315" s="74"/>
      <c r="CP315" s="74"/>
      <c r="CQ315" s="74"/>
      <c r="CR315" s="74"/>
      <c r="CS315" s="74"/>
      <c r="CT315" s="74"/>
      <c r="CU315" s="74"/>
      <c r="CV315" s="74"/>
      <c r="CW315" s="74"/>
      <c r="CX315" s="74"/>
      <c r="CY315" s="74"/>
      <c r="CZ315" s="74"/>
      <c r="DA315" s="74"/>
      <c r="DB315" s="74"/>
      <c r="DC315" s="74"/>
    </row>
    <row r="316" spans="15:107" customFormat="1" x14ac:dyDescent="0.35">
      <c r="O316" s="76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74"/>
      <c r="BM316" s="74"/>
      <c r="BN316" s="74"/>
      <c r="BO316" s="74"/>
      <c r="BP316" s="74"/>
      <c r="BQ316" s="74"/>
      <c r="BR316" s="74"/>
      <c r="BS316" s="74"/>
      <c r="BT316" s="74"/>
      <c r="BU316" s="74"/>
      <c r="BV316" s="74"/>
      <c r="BW316" s="74"/>
      <c r="BX316" s="74"/>
      <c r="BY316" s="74"/>
      <c r="BZ316" s="74"/>
      <c r="CA316" s="74"/>
      <c r="CB316" s="74"/>
      <c r="CC316" s="74"/>
      <c r="CD316" s="74"/>
      <c r="CE316" s="74"/>
      <c r="CF316" s="74"/>
      <c r="CG316" s="74"/>
      <c r="CH316" s="74"/>
      <c r="CI316" s="74"/>
      <c r="CJ316" s="74"/>
      <c r="CK316" s="74"/>
      <c r="CL316" s="74"/>
      <c r="CM316" s="74"/>
      <c r="CN316" s="74"/>
      <c r="CO316" s="74"/>
      <c r="CP316" s="74"/>
      <c r="CQ316" s="74"/>
      <c r="CR316" s="74"/>
      <c r="CS316" s="74"/>
      <c r="CT316" s="74"/>
      <c r="CU316" s="74"/>
      <c r="CV316" s="74"/>
      <c r="CW316" s="74"/>
      <c r="CX316" s="74"/>
      <c r="CY316" s="74"/>
      <c r="CZ316" s="74"/>
      <c r="DA316" s="74"/>
      <c r="DB316" s="74"/>
      <c r="DC316" s="74"/>
    </row>
    <row r="317" spans="15:107" customFormat="1" x14ac:dyDescent="0.35">
      <c r="O317" s="76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  <c r="AZ317" s="74"/>
      <c r="BA317" s="74"/>
      <c r="BB317" s="74"/>
      <c r="BC317" s="74"/>
      <c r="BD317" s="74"/>
      <c r="BE317" s="74"/>
      <c r="BF317" s="74"/>
      <c r="BG317" s="74"/>
      <c r="BH317" s="74"/>
      <c r="BI317" s="74"/>
      <c r="BJ317" s="74"/>
      <c r="BK317" s="74"/>
      <c r="BL317" s="74"/>
      <c r="BM317" s="74"/>
      <c r="BN317" s="74"/>
      <c r="BO317" s="74"/>
      <c r="BP317" s="74"/>
      <c r="BQ317" s="74"/>
      <c r="BR317" s="74"/>
      <c r="BS317" s="74"/>
      <c r="BT317" s="74"/>
      <c r="BU317" s="74"/>
      <c r="BV317" s="74"/>
      <c r="BW317" s="74"/>
      <c r="BX317" s="74"/>
      <c r="BY317" s="74"/>
      <c r="BZ317" s="74"/>
      <c r="CA317" s="74"/>
      <c r="CB317" s="74"/>
      <c r="CC317" s="74"/>
      <c r="CD317" s="74"/>
      <c r="CE317" s="74"/>
      <c r="CF317" s="74"/>
      <c r="CG317" s="74"/>
      <c r="CH317" s="74"/>
      <c r="CI317" s="74"/>
      <c r="CJ317" s="74"/>
      <c r="CK317" s="74"/>
      <c r="CL317" s="74"/>
      <c r="CM317" s="74"/>
      <c r="CN317" s="74"/>
      <c r="CO317" s="74"/>
      <c r="CP317" s="74"/>
      <c r="CQ317" s="74"/>
      <c r="CR317" s="74"/>
      <c r="CS317" s="74"/>
      <c r="CT317" s="74"/>
      <c r="CU317" s="74"/>
      <c r="CV317" s="74"/>
      <c r="CW317" s="74"/>
      <c r="CX317" s="74"/>
      <c r="CY317" s="74"/>
      <c r="CZ317" s="74"/>
      <c r="DA317" s="74"/>
      <c r="DB317" s="74"/>
      <c r="DC317" s="74"/>
    </row>
    <row r="318" spans="15:107" customFormat="1" x14ac:dyDescent="0.35">
      <c r="O318" s="76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  <c r="BA318" s="74"/>
      <c r="BB318" s="74"/>
      <c r="BC318" s="74"/>
      <c r="BD318" s="74"/>
      <c r="BE318" s="74"/>
      <c r="BF318" s="74"/>
      <c r="BG318" s="74"/>
      <c r="BH318" s="74"/>
      <c r="BI318" s="74"/>
      <c r="BJ318" s="74"/>
      <c r="BK318" s="74"/>
      <c r="BL318" s="74"/>
      <c r="BM318" s="74"/>
      <c r="BN318" s="74"/>
      <c r="BO318" s="74"/>
      <c r="BP318" s="74"/>
      <c r="BQ318" s="74"/>
      <c r="BR318" s="74"/>
      <c r="BS318" s="74"/>
      <c r="BT318" s="74"/>
      <c r="BU318" s="74"/>
      <c r="BV318" s="74"/>
      <c r="BW318" s="74"/>
      <c r="BX318" s="74"/>
      <c r="BY318" s="74"/>
      <c r="BZ318" s="74"/>
      <c r="CA318" s="74"/>
      <c r="CB318" s="74"/>
      <c r="CC318" s="74"/>
      <c r="CD318" s="74"/>
      <c r="CE318" s="74"/>
      <c r="CF318" s="74"/>
      <c r="CG318" s="74"/>
      <c r="CH318" s="74"/>
      <c r="CI318" s="74"/>
      <c r="CJ318" s="74"/>
      <c r="CK318" s="74"/>
      <c r="CL318" s="74"/>
      <c r="CM318" s="74"/>
      <c r="CN318" s="74"/>
      <c r="CO318" s="74"/>
      <c r="CP318" s="74"/>
      <c r="CQ318" s="74"/>
      <c r="CR318" s="74"/>
      <c r="CS318" s="74"/>
      <c r="CT318" s="74"/>
      <c r="CU318" s="74"/>
      <c r="CV318" s="74"/>
      <c r="CW318" s="74"/>
      <c r="CX318" s="74"/>
      <c r="CY318" s="74"/>
      <c r="CZ318" s="74"/>
      <c r="DA318" s="74"/>
      <c r="DB318" s="74"/>
      <c r="DC318" s="74"/>
    </row>
    <row r="319" spans="15:107" customFormat="1" x14ac:dyDescent="0.35">
      <c r="O319" s="76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  <c r="BC319" s="74"/>
      <c r="BD319" s="74"/>
      <c r="BE319" s="74"/>
      <c r="BF319" s="74"/>
      <c r="BG319" s="74"/>
      <c r="BH319" s="74"/>
      <c r="BI319" s="74"/>
      <c r="BJ319" s="74"/>
      <c r="BK319" s="74"/>
      <c r="BL319" s="74"/>
      <c r="BM319" s="74"/>
      <c r="BN319" s="74"/>
      <c r="BO319" s="74"/>
      <c r="BP319" s="74"/>
      <c r="BQ319" s="74"/>
      <c r="BR319" s="74"/>
      <c r="BS319" s="74"/>
      <c r="BT319" s="74"/>
      <c r="BU319" s="74"/>
      <c r="BV319" s="74"/>
      <c r="BW319" s="74"/>
      <c r="BX319" s="74"/>
      <c r="BY319" s="74"/>
      <c r="BZ319" s="74"/>
      <c r="CA319" s="74"/>
      <c r="CB319" s="74"/>
      <c r="CC319" s="74"/>
      <c r="CD319" s="74"/>
      <c r="CE319" s="74"/>
      <c r="CF319" s="74"/>
      <c r="CG319" s="74"/>
      <c r="CH319" s="74"/>
      <c r="CI319" s="74"/>
      <c r="CJ319" s="74"/>
      <c r="CK319" s="74"/>
      <c r="CL319" s="74"/>
      <c r="CM319" s="74"/>
      <c r="CN319" s="74"/>
      <c r="CO319" s="74"/>
      <c r="CP319" s="74"/>
      <c r="CQ319" s="74"/>
      <c r="CR319" s="74"/>
      <c r="CS319" s="74"/>
      <c r="CT319" s="74"/>
      <c r="CU319" s="74"/>
      <c r="CV319" s="74"/>
      <c r="CW319" s="74"/>
      <c r="CX319" s="74"/>
      <c r="CY319" s="74"/>
      <c r="CZ319" s="74"/>
      <c r="DA319" s="74"/>
      <c r="DB319" s="74"/>
      <c r="DC319" s="74"/>
    </row>
    <row r="320" spans="15:107" customFormat="1" x14ac:dyDescent="0.35">
      <c r="O320" s="76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  <c r="BC320" s="74"/>
      <c r="BD320" s="74"/>
      <c r="BE320" s="74"/>
      <c r="BF320" s="74"/>
      <c r="BG320" s="74"/>
      <c r="BH320" s="74"/>
      <c r="BI320" s="74"/>
      <c r="BJ320" s="74"/>
      <c r="BK320" s="74"/>
      <c r="BL320" s="74"/>
      <c r="BM320" s="74"/>
      <c r="BN320" s="74"/>
      <c r="BO320" s="74"/>
      <c r="BP320" s="74"/>
      <c r="BQ320" s="74"/>
      <c r="BR320" s="74"/>
      <c r="BS320" s="74"/>
      <c r="BT320" s="74"/>
      <c r="BU320" s="74"/>
      <c r="BV320" s="74"/>
      <c r="BW320" s="74"/>
      <c r="BX320" s="74"/>
      <c r="BY320" s="74"/>
      <c r="BZ320" s="74"/>
      <c r="CA320" s="74"/>
      <c r="CB320" s="74"/>
      <c r="CC320" s="74"/>
      <c r="CD320" s="74"/>
      <c r="CE320" s="74"/>
      <c r="CF320" s="74"/>
      <c r="CG320" s="74"/>
      <c r="CH320" s="74"/>
      <c r="CI320" s="74"/>
      <c r="CJ320" s="74"/>
      <c r="CK320" s="74"/>
      <c r="CL320" s="74"/>
      <c r="CM320" s="74"/>
      <c r="CN320" s="74"/>
      <c r="CO320" s="74"/>
      <c r="CP320" s="74"/>
      <c r="CQ320" s="74"/>
      <c r="CR320" s="74"/>
      <c r="CS320" s="74"/>
      <c r="CT320" s="74"/>
      <c r="CU320" s="74"/>
      <c r="CV320" s="74"/>
      <c r="CW320" s="74"/>
      <c r="CX320" s="74"/>
      <c r="CY320" s="74"/>
      <c r="CZ320" s="74"/>
      <c r="DA320" s="74"/>
      <c r="DB320" s="74"/>
      <c r="DC320" s="74"/>
    </row>
    <row r="321" spans="15:107" customFormat="1" x14ac:dyDescent="0.35">
      <c r="O321" s="76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  <c r="BD321" s="74"/>
      <c r="BE321" s="74"/>
      <c r="BF321" s="74"/>
      <c r="BG321" s="74"/>
      <c r="BH321" s="74"/>
      <c r="BI321" s="74"/>
      <c r="BJ321" s="74"/>
      <c r="BK321" s="74"/>
      <c r="BL321" s="74"/>
      <c r="BM321" s="74"/>
      <c r="BN321" s="74"/>
      <c r="BO321" s="74"/>
      <c r="BP321" s="74"/>
      <c r="BQ321" s="74"/>
      <c r="BR321" s="74"/>
      <c r="BS321" s="74"/>
      <c r="BT321" s="74"/>
      <c r="BU321" s="74"/>
      <c r="BV321" s="74"/>
      <c r="BW321" s="74"/>
      <c r="BX321" s="74"/>
      <c r="BY321" s="74"/>
      <c r="BZ321" s="74"/>
      <c r="CA321" s="74"/>
      <c r="CB321" s="74"/>
      <c r="CC321" s="74"/>
      <c r="CD321" s="74"/>
      <c r="CE321" s="74"/>
      <c r="CF321" s="74"/>
      <c r="CG321" s="74"/>
      <c r="CH321" s="74"/>
      <c r="CI321" s="74"/>
      <c r="CJ321" s="74"/>
      <c r="CK321" s="74"/>
      <c r="CL321" s="74"/>
      <c r="CM321" s="74"/>
      <c r="CN321" s="74"/>
      <c r="CO321" s="74"/>
      <c r="CP321" s="74"/>
      <c r="CQ321" s="74"/>
      <c r="CR321" s="74"/>
      <c r="CS321" s="74"/>
      <c r="CT321" s="74"/>
      <c r="CU321" s="74"/>
      <c r="CV321" s="74"/>
      <c r="CW321" s="74"/>
      <c r="CX321" s="74"/>
      <c r="CY321" s="74"/>
      <c r="CZ321" s="74"/>
      <c r="DA321" s="74"/>
      <c r="DB321" s="74"/>
      <c r="DC321" s="74"/>
    </row>
    <row r="322" spans="15:107" customFormat="1" x14ac:dyDescent="0.35">
      <c r="O322" s="76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74"/>
      <c r="BM322" s="74"/>
      <c r="BN322" s="74"/>
      <c r="BO322" s="74"/>
      <c r="BP322" s="74"/>
      <c r="BQ322" s="74"/>
      <c r="BR322" s="74"/>
      <c r="BS322" s="74"/>
      <c r="BT322" s="74"/>
      <c r="BU322" s="74"/>
      <c r="BV322" s="74"/>
      <c r="BW322" s="74"/>
      <c r="BX322" s="74"/>
      <c r="BY322" s="74"/>
      <c r="BZ322" s="74"/>
      <c r="CA322" s="74"/>
      <c r="CB322" s="74"/>
      <c r="CC322" s="74"/>
      <c r="CD322" s="74"/>
      <c r="CE322" s="74"/>
      <c r="CF322" s="74"/>
      <c r="CG322" s="74"/>
      <c r="CH322" s="74"/>
      <c r="CI322" s="74"/>
      <c r="CJ322" s="74"/>
      <c r="CK322" s="74"/>
      <c r="CL322" s="74"/>
      <c r="CM322" s="74"/>
      <c r="CN322" s="74"/>
      <c r="CO322" s="74"/>
      <c r="CP322" s="74"/>
      <c r="CQ322" s="74"/>
      <c r="CR322" s="74"/>
      <c r="CS322" s="74"/>
      <c r="CT322" s="74"/>
      <c r="CU322" s="74"/>
      <c r="CV322" s="74"/>
      <c r="CW322" s="74"/>
      <c r="CX322" s="74"/>
      <c r="CY322" s="74"/>
      <c r="CZ322" s="74"/>
      <c r="DA322" s="74"/>
      <c r="DB322" s="74"/>
      <c r="DC322" s="74"/>
    </row>
    <row r="323" spans="15:107" customFormat="1" x14ac:dyDescent="0.35">
      <c r="O323" s="76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74"/>
      <c r="BM323" s="74"/>
      <c r="BN323" s="74"/>
      <c r="BO323" s="74"/>
      <c r="BP323" s="74"/>
      <c r="BQ323" s="74"/>
      <c r="BR323" s="74"/>
      <c r="BS323" s="74"/>
      <c r="BT323" s="74"/>
      <c r="BU323" s="74"/>
      <c r="BV323" s="74"/>
      <c r="BW323" s="74"/>
      <c r="BX323" s="74"/>
      <c r="BY323" s="74"/>
      <c r="BZ323" s="74"/>
      <c r="CA323" s="74"/>
      <c r="CB323" s="74"/>
      <c r="CC323" s="74"/>
      <c r="CD323" s="74"/>
      <c r="CE323" s="74"/>
      <c r="CF323" s="74"/>
      <c r="CG323" s="74"/>
      <c r="CH323" s="74"/>
      <c r="CI323" s="74"/>
      <c r="CJ323" s="74"/>
      <c r="CK323" s="74"/>
      <c r="CL323" s="74"/>
      <c r="CM323" s="74"/>
      <c r="CN323" s="74"/>
      <c r="CO323" s="74"/>
      <c r="CP323" s="74"/>
      <c r="CQ323" s="74"/>
      <c r="CR323" s="74"/>
      <c r="CS323" s="74"/>
      <c r="CT323" s="74"/>
      <c r="CU323" s="74"/>
      <c r="CV323" s="74"/>
      <c r="CW323" s="74"/>
      <c r="CX323" s="74"/>
      <c r="CY323" s="74"/>
      <c r="CZ323" s="74"/>
      <c r="DA323" s="74"/>
      <c r="DB323" s="74"/>
      <c r="DC323" s="74"/>
    </row>
    <row r="324" spans="15:107" customFormat="1" x14ac:dyDescent="0.35">
      <c r="O324" s="76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  <c r="BD324" s="74"/>
      <c r="BE324" s="74"/>
      <c r="BF324" s="74"/>
      <c r="BG324" s="74"/>
      <c r="BH324" s="74"/>
      <c r="BI324" s="74"/>
      <c r="BJ324" s="74"/>
      <c r="BK324" s="74"/>
      <c r="BL324" s="74"/>
      <c r="BM324" s="74"/>
      <c r="BN324" s="74"/>
      <c r="BO324" s="74"/>
      <c r="BP324" s="74"/>
      <c r="BQ324" s="74"/>
      <c r="BR324" s="74"/>
      <c r="BS324" s="74"/>
      <c r="BT324" s="74"/>
      <c r="BU324" s="74"/>
      <c r="BV324" s="74"/>
      <c r="BW324" s="74"/>
      <c r="BX324" s="74"/>
      <c r="BY324" s="74"/>
      <c r="BZ324" s="74"/>
      <c r="CA324" s="74"/>
      <c r="CB324" s="74"/>
      <c r="CC324" s="74"/>
      <c r="CD324" s="74"/>
      <c r="CE324" s="74"/>
      <c r="CF324" s="74"/>
      <c r="CG324" s="74"/>
      <c r="CH324" s="74"/>
      <c r="CI324" s="74"/>
      <c r="CJ324" s="74"/>
      <c r="CK324" s="74"/>
      <c r="CL324" s="74"/>
      <c r="CM324" s="74"/>
      <c r="CN324" s="74"/>
      <c r="CO324" s="74"/>
      <c r="CP324" s="74"/>
      <c r="CQ324" s="74"/>
      <c r="CR324" s="74"/>
      <c r="CS324" s="74"/>
      <c r="CT324" s="74"/>
      <c r="CU324" s="74"/>
      <c r="CV324" s="74"/>
      <c r="CW324" s="74"/>
      <c r="CX324" s="74"/>
      <c r="CY324" s="74"/>
      <c r="CZ324" s="74"/>
      <c r="DA324" s="74"/>
      <c r="DB324" s="74"/>
      <c r="DC324" s="74"/>
    </row>
    <row r="325" spans="15:107" customFormat="1" x14ac:dyDescent="0.35">
      <c r="O325" s="76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  <c r="BC325" s="74"/>
      <c r="BD325" s="74"/>
      <c r="BE325" s="74"/>
      <c r="BF325" s="74"/>
      <c r="BG325" s="74"/>
      <c r="BH325" s="74"/>
      <c r="BI325" s="74"/>
      <c r="BJ325" s="74"/>
      <c r="BK325" s="74"/>
      <c r="BL325" s="74"/>
      <c r="BM325" s="74"/>
      <c r="BN325" s="74"/>
      <c r="BO325" s="74"/>
      <c r="BP325" s="74"/>
      <c r="BQ325" s="74"/>
      <c r="BR325" s="74"/>
      <c r="BS325" s="74"/>
      <c r="BT325" s="74"/>
      <c r="BU325" s="74"/>
      <c r="BV325" s="74"/>
      <c r="BW325" s="74"/>
      <c r="BX325" s="74"/>
      <c r="BY325" s="74"/>
      <c r="BZ325" s="74"/>
      <c r="CA325" s="74"/>
      <c r="CB325" s="74"/>
      <c r="CC325" s="74"/>
      <c r="CD325" s="74"/>
      <c r="CE325" s="74"/>
      <c r="CF325" s="74"/>
      <c r="CG325" s="74"/>
      <c r="CH325" s="74"/>
      <c r="CI325" s="74"/>
      <c r="CJ325" s="74"/>
      <c r="CK325" s="74"/>
      <c r="CL325" s="74"/>
      <c r="CM325" s="74"/>
      <c r="CN325" s="74"/>
      <c r="CO325" s="74"/>
      <c r="CP325" s="74"/>
      <c r="CQ325" s="74"/>
      <c r="CR325" s="74"/>
      <c r="CS325" s="74"/>
      <c r="CT325" s="74"/>
      <c r="CU325" s="74"/>
      <c r="CV325" s="74"/>
      <c r="CW325" s="74"/>
      <c r="CX325" s="74"/>
      <c r="CY325" s="74"/>
      <c r="CZ325" s="74"/>
      <c r="DA325" s="74"/>
      <c r="DB325" s="74"/>
      <c r="DC325" s="74"/>
    </row>
    <row r="326" spans="15:107" customFormat="1" x14ac:dyDescent="0.35">
      <c r="O326" s="76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74"/>
      <c r="BJ326" s="74"/>
      <c r="BK326" s="74"/>
      <c r="BL326" s="74"/>
      <c r="BM326" s="74"/>
      <c r="BN326" s="74"/>
      <c r="BO326" s="74"/>
      <c r="BP326" s="74"/>
      <c r="BQ326" s="74"/>
      <c r="BR326" s="74"/>
      <c r="BS326" s="74"/>
      <c r="BT326" s="74"/>
      <c r="BU326" s="74"/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/>
      <c r="CP326" s="74"/>
      <c r="CQ326" s="74"/>
      <c r="CR326" s="74"/>
      <c r="CS326" s="74"/>
      <c r="CT326" s="74"/>
      <c r="CU326" s="74"/>
      <c r="CV326" s="74"/>
      <c r="CW326" s="74"/>
      <c r="CX326" s="74"/>
      <c r="CY326" s="74"/>
      <c r="CZ326" s="74"/>
      <c r="DA326" s="74"/>
      <c r="DB326" s="74"/>
      <c r="DC326" s="74"/>
    </row>
    <row r="327" spans="15:107" customFormat="1" x14ac:dyDescent="0.35">
      <c r="O327" s="76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74"/>
      <c r="BJ327" s="74"/>
      <c r="BK327" s="74"/>
      <c r="BL327" s="74"/>
      <c r="BM327" s="74"/>
      <c r="BN327" s="74"/>
      <c r="BO327" s="74"/>
      <c r="BP327" s="74"/>
      <c r="BQ327" s="74"/>
      <c r="BR327" s="74"/>
      <c r="BS327" s="74"/>
      <c r="BT327" s="74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74"/>
      <c r="CU327" s="74"/>
      <c r="CV327" s="74"/>
      <c r="CW327" s="74"/>
      <c r="CX327" s="74"/>
      <c r="CY327" s="74"/>
      <c r="CZ327" s="74"/>
      <c r="DA327" s="74"/>
      <c r="DB327" s="74"/>
      <c r="DC327" s="74"/>
    </row>
    <row r="328" spans="15:107" customFormat="1" x14ac:dyDescent="0.35">
      <c r="O328" s="76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  <c r="AZ328" s="74"/>
      <c r="BA328" s="74"/>
      <c r="BB328" s="74"/>
      <c r="BC328" s="74"/>
      <c r="BD328" s="74"/>
      <c r="BE328" s="74"/>
      <c r="BF328" s="74"/>
      <c r="BG328" s="74"/>
      <c r="BH328" s="74"/>
      <c r="BI328" s="74"/>
      <c r="BJ328" s="74"/>
      <c r="BK328" s="74"/>
      <c r="BL328" s="74"/>
      <c r="BM328" s="74"/>
      <c r="BN328" s="74"/>
      <c r="BO328" s="74"/>
      <c r="BP328" s="74"/>
      <c r="BQ328" s="74"/>
      <c r="BR328" s="74"/>
      <c r="BS328" s="74"/>
      <c r="BT328" s="74"/>
      <c r="BU328" s="74"/>
      <c r="BV328" s="74"/>
      <c r="BW328" s="74"/>
      <c r="BX328" s="74"/>
      <c r="BY328" s="74"/>
      <c r="BZ328" s="74"/>
      <c r="CA328" s="74"/>
      <c r="CB328" s="74"/>
      <c r="CC328" s="74"/>
      <c r="CD328" s="74"/>
      <c r="CE328" s="74"/>
      <c r="CF328" s="74"/>
      <c r="CG328" s="74"/>
      <c r="CH328" s="74"/>
      <c r="CI328" s="74"/>
      <c r="CJ328" s="74"/>
      <c r="CK328" s="74"/>
      <c r="CL328" s="74"/>
      <c r="CM328" s="74"/>
      <c r="CN328" s="74"/>
      <c r="CO328" s="74"/>
      <c r="CP328" s="74"/>
      <c r="CQ328" s="74"/>
      <c r="CR328" s="74"/>
      <c r="CS328" s="74"/>
      <c r="CT328" s="74"/>
      <c r="CU328" s="74"/>
      <c r="CV328" s="74"/>
      <c r="CW328" s="74"/>
      <c r="CX328" s="74"/>
      <c r="CY328" s="74"/>
      <c r="CZ328" s="74"/>
      <c r="DA328" s="74"/>
      <c r="DB328" s="74"/>
      <c r="DC328" s="74"/>
    </row>
    <row r="329" spans="15:107" customFormat="1" x14ac:dyDescent="0.35">
      <c r="O329" s="76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  <c r="BD329" s="74"/>
      <c r="BE329" s="74"/>
      <c r="BF329" s="74"/>
      <c r="BG329" s="74"/>
      <c r="BH329" s="74"/>
      <c r="BI329" s="74"/>
      <c r="BJ329" s="74"/>
      <c r="BK329" s="74"/>
      <c r="BL329" s="74"/>
      <c r="BM329" s="74"/>
      <c r="BN329" s="74"/>
      <c r="BO329" s="74"/>
      <c r="BP329" s="74"/>
      <c r="BQ329" s="74"/>
      <c r="BR329" s="74"/>
      <c r="BS329" s="74"/>
      <c r="BT329" s="74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74"/>
      <c r="CU329" s="74"/>
      <c r="CV329" s="74"/>
      <c r="CW329" s="74"/>
      <c r="CX329" s="74"/>
      <c r="CY329" s="74"/>
      <c r="CZ329" s="74"/>
      <c r="DA329" s="74"/>
      <c r="DB329" s="74"/>
      <c r="DC329" s="74"/>
    </row>
    <row r="330" spans="15:107" customFormat="1" x14ac:dyDescent="0.35">
      <c r="O330" s="76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74"/>
      <c r="CU330" s="74"/>
      <c r="CV330" s="74"/>
      <c r="CW330" s="74"/>
      <c r="CX330" s="74"/>
      <c r="CY330" s="74"/>
      <c r="CZ330" s="74"/>
      <c r="DA330" s="74"/>
      <c r="DB330" s="74"/>
      <c r="DC330" s="74"/>
    </row>
    <row r="331" spans="15:107" customFormat="1" x14ac:dyDescent="0.35">
      <c r="O331" s="76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74"/>
      <c r="CU331" s="74"/>
      <c r="CV331" s="74"/>
      <c r="CW331" s="74"/>
      <c r="CX331" s="74"/>
      <c r="CY331" s="74"/>
      <c r="CZ331" s="74"/>
      <c r="DA331" s="74"/>
      <c r="DB331" s="74"/>
      <c r="DC331" s="74"/>
    </row>
    <row r="332" spans="15:107" customFormat="1" x14ac:dyDescent="0.35">
      <c r="O332" s="76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74"/>
      <c r="CU332" s="74"/>
      <c r="CV332" s="74"/>
      <c r="CW332" s="74"/>
      <c r="CX332" s="74"/>
      <c r="CY332" s="74"/>
      <c r="CZ332" s="74"/>
      <c r="DA332" s="74"/>
      <c r="DB332" s="74"/>
      <c r="DC332" s="74"/>
    </row>
    <row r="333" spans="15:107" customFormat="1" x14ac:dyDescent="0.35">
      <c r="O333" s="76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74"/>
      <c r="CU333" s="74"/>
      <c r="CV333" s="74"/>
      <c r="CW333" s="74"/>
      <c r="CX333" s="74"/>
      <c r="CY333" s="74"/>
      <c r="CZ333" s="74"/>
      <c r="DA333" s="74"/>
      <c r="DB333" s="74"/>
      <c r="DC333" s="74"/>
    </row>
    <row r="334" spans="15:107" customFormat="1" x14ac:dyDescent="0.35">
      <c r="O334" s="76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74"/>
      <c r="CU334" s="74"/>
      <c r="CV334" s="74"/>
      <c r="CW334" s="74"/>
      <c r="CX334" s="74"/>
      <c r="CY334" s="74"/>
      <c r="CZ334" s="74"/>
      <c r="DA334" s="74"/>
      <c r="DB334" s="74"/>
      <c r="DC334" s="74"/>
    </row>
    <row r="335" spans="15:107" customFormat="1" x14ac:dyDescent="0.35">
      <c r="O335" s="76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74"/>
      <c r="CU335" s="74"/>
      <c r="CV335" s="74"/>
      <c r="CW335" s="74"/>
      <c r="CX335" s="74"/>
      <c r="CY335" s="74"/>
      <c r="CZ335" s="74"/>
      <c r="DA335" s="74"/>
      <c r="DB335" s="74"/>
      <c r="DC335" s="74"/>
    </row>
    <row r="336" spans="15:107" customFormat="1" x14ac:dyDescent="0.35">
      <c r="O336" s="76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74"/>
      <c r="CU336" s="74"/>
      <c r="CV336" s="74"/>
      <c r="CW336" s="74"/>
      <c r="CX336" s="74"/>
      <c r="CY336" s="74"/>
      <c r="CZ336" s="74"/>
      <c r="DA336" s="74"/>
      <c r="DB336" s="74"/>
      <c r="DC336" s="74"/>
    </row>
    <row r="337" spans="15:107" customFormat="1" x14ac:dyDescent="0.35">
      <c r="O337" s="76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74"/>
      <c r="CU337" s="74"/>
      <c r="CV337" s="74"/>
      <c r="CW337" s="74"/>
      <c r="CX337" s="74"/>
      <c r="CY337" s="74"/>
      <c r="CZ337" s="74"/>
      <c r="DA337" s="74"/>
      <c r="DB337" s="74"/>
      <c r="DC337" s="74"/>
    </row>
    <row r="338" spans="15:107" customFormat="1" x14ac:dyDescent="0.35">
      <c r="O338" s="76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74"/>
      <c r="CU338" s="74"/>
      <c r="CV338" s="74"/>
      <c r="CW338" s="74"/>
      <c r="CX338" s="74"/>
      <c r="CY338" s="74"/>
      <c r="CZ338" s="74"/>
      <c r="DA338" s="74"/>
      <c r="DB338" s="74"/>
      <c r="DC338" s="74"/>
    </row>
    <row r="339" spans="15:107" customFormat="1" x14ac:dyDescent="0.35">
      <c r="O339" s="76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74"/>
      <c r="CU339" s="74"/>
      <c r="CV339" s="74"/>
      <c r="CW339" s="74"/>
      <c r="CX339" s="74"/>
      <c r="CY339" s="74"/>
      <c r="CZ339" s="74"/>
      <c r="DA339" s="74"/>
      <c r="DB339" s="74"/>
      <c r="DC339" s="74"/>
    </row>
    <row r="340" spans="15:107" customFormat="1" x14ac:dyDescent="0.35">
      <c r="O340" s="76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  <c r="AS340" s="74"/>
      <c r="AT340" s="74"/>
      <c r="AU340" s="74"/>
      <c r="AV340" s="74"/>
      <c r="AW340" s="74"/>
      <c r="AX340" s="74"/>
      <c r="AY340" s="74"/>
      <c r="AZ340" s="74"/>
      <c r="BA340" s="74"/>
      <c r="BB340" s="74"/>
      <c r="BC340" s="74"/>
      <c r="BD340" s="74"/>
      <c r="BE340" s="74"/>
      <c r="BF340" s="74"/>
      <c r="BG340" s="74"/>
      <c r="BH340" s="74"/>
      <c r="BI340" s="74"/>
      <c r="BJ340" s="74"/>
      <c r="BK340" s="74"/>
      <c r="BL340" s="74"/>
      <c r="BM340" s="74"/>
      <c r="BN340" s="74"/>
      <c r="BO340" s="74"/>
      <c r="BP340" s="74"/>
      <c r="BQ340" s="74"/>
      <c r="BR340" s="74"/>
      <c r="BS340" s="74"/>
      <c r="BT340" s="74"/>
      <c r="BU340" s="74"/>
      <c r="BV340" s="74"/>
      <c r="BW340" s="74"/>
      <c r="BX340" s="74"/>
      <c r="BY340" s="74"/>
      <c r="BZ340" s="74"/>
      <c r="CA340" s="74"/>
      <c r="CB340" s="74"/>
      <c r="CC340" s="74"/>
      <c r="CD340" s="74"/>
      <c r="CE340" s="74"/>
      <c r="CF340" s="74"/>
      <c r="CG340" s="74"/>
      <c r="CH340" s="74"/>
      <c r="CI340" s="74"/>
      <c r="CJ340" s="74"/>
      <c r="CK340" s="74"/>
      <c r="CL340" s="74"/>
      <c r="CM340" s="74"/>
      <c r="CN340" s="74"/>
      <c r="CO340" s="74"/>
      <c r="CP340" s="74"/>
      <c r="CQ340" s="74"/>
      <c r="CR340" s="74"/>
      <c r="CS340" s="74"/>
      <c r="CT340" s="74"/>
      <c r="CU340" s="74"/>
      <c r="CV340" s="74"/>
      <c r="CW340" s="74"/>
      <c r="CX340" s="74"/>
      <c r="CY340" s="74"/>
      <c r="CZ340" s="74"/>
      <c r="DA340" s="74"/>
      <c r="DB340" s="74"/>
      <c r="DC340" s="74"/>
    </row>
    <row r="341" spans="15:107" customFormat="1" x14ac:dyDescent="0.35">
      <c r="O341" s="76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74"/>
      <c r="AR341" s="74"/>
      <c r="AS341" s="74"/>
      <c r="AT341" s="74"/>
      <c r="AU341" s="74"/>
      <c r="AV341" s="74"/>
      <c r="AW341" s="74"/>
      <c r="AX341" s="74"/>
      <c r="AY341" s="74"/>
      <c r="AZ341" s="74"/>
      <c r="BA341" s="74"/>
      <c r="BB341" s="74"/>
      <c r="BC341" s="74"/>
      <c r="BD341" s="74"/>
      <c r="BE341" s="74"/>
      <c r="BF341" s="74"/>
      <c r="BG341" s="74"/>
      <c r="BH341" s="74"/>
      <c r="BI341" s="74"/>
      <c r="BJ341" s="74"/>
      <c r="BK341" s="74"/>
      <c r="BL341" s="74"/>
      <c r="BM341" s="74"/>
      <c r="BN341" s="74"/>
      <c r="BO341" s="74"/>
      <c r="BP341" s="74"/>
      <c r="BQ341" s="74"/>
      <c r="BR341" s="74"/>
      <c r="BS341" s="74"/>
      <c r="BT341" s="74"/>
      <c r="BU341" s="74"/>
      <c r="BV341" s="74"/>
      <c r="BW341" s="74"/>
      <c r="BX341" s="74"/>
      <c r="BY341" s="74"/>
      <c r="BZ341" s="74"/>
      <c r="CA341" s="74"/>
      <c r="CB341" s="74"/>
      <c r="CC341" s="74"/>
      <c r="CD341" s="74"/>
      <c r="CE341" s="74"/>
      <c r="CF341" s="74"/>
      <c r="CG341" s="74"/>
      <c r="CH341" s="74"/>
      <c r="CI341" s="74"/>
      <c r="CJ341" s="74"/>
      <c r="CK341" s="74"/>
      <c r="CL341" s="74"/>
      <c r="CM341" s="74"/>
      <c r="CN341" s="74"/>
      <c r="CO341" s="74"/>
      <c r="CP341" s="74"/>
      <c r="CQ341" s="74"/>
      <c r="CR341" s="74"/>
      <c r="CS341" s="74"/>
      <c r="CT341" s="74"/>
      <c r="CU341" s="74"/>
      <c r="CV341" s="74"/>
      <c r="CW341" s="74"/>
      <c r="CX341" s="74"/>
      <c r="CY341" s="74"/>
      <c r="CZ341" s="74"/>
      <c r="DA341" s="74"/>
      <c r="DB341" s="74"/>
      <c r="DC341" s="74"/>
    </row>
    <row r="342" spans="15:107" customFormat="1" x14ac:dyDescent="0.35">
      <c r="O342" s="76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74"/>
      <c r="AR342" s="74"/>
      <c r="AS342" s="74"/>
      <c r="AT342" s="74"/>
      <c r="AU342" s="74"/>
      <c r="AV342" s="74"/>
      <c r="AW342" s="74"/>
      <c r="AX342" s="74"/>
      <c r="AY342" s="74"/>
      <c r="AZ342" s="74"/>
      <c r="BA342" s="74"/>
      <c r="BB342" s="74"/>
      <c r="BC342" s="74"/>
      <c r="BD342" s="74"/>
      <c r="BE342" s="74"/>
      <c r="BF342" s="74"/>
      <c r="BG342" s="74"/>
      <c r="BH342" s="74"/>
      <c r="BI342" s="74"/>
      <c r="BJ342" s="74"/>
      <c r="BK342" s="74"/>
      <c r="BL342" s="74"/>
      <c r="BM342" s="74"/>
      <c r="BN342" s="74"/>
      <c r="BO342" s="74"/>
      <c r="BP342" s="74"/>
      <c r="BQ342" s="74"/>
      <c r="BR342" s="74"/>
      <c r="BS342" s="74"/>
      <c r="BT342" s="74"/>
      <c r="BU342" s="74"/>
      <c r="BV342" s="74"/>
      <c r="BW342" s="74"/>
      <c r="BX342" s="74"/>
      <c r="BY342" s="74"/>
      <c r="BZ342" s="74"/>
      <c r="CA342" s="74"/>
      <c r="CB342" s="74"/>
      <c r="CC342" s="74"/>
      <c r="CD342" s="74"/>
      <c r="CE342" s="74"/>
      <c r="CF342" s="74"/>
      <c r="CG342" s="74"/>
      <c r="CH342" s="74"/>
      <c r="CI342" s="74"/>
      <c r="CJ342" s="74"/>
      <c r="CK342" s="74"/>
      <c r="CL342" s="74"/>
      <c r="CM342" s="74"/>
      <c r="CN342" s="74"/>
      <c r="CO342" s="74"/>
      <c r="CP342" s="74"/>
      <c r="CQ342" s="74"/>
      <c r="CR342" s="74"/>
      <c r="CS342" s="74"/>
      <c r="CT342" s="74"/>
      <c r="CU342" s="74"/>
      <c r="CV342" s="74"/>
      <c r="CW342" s="74"/>
      <c r="CX342" s="74"/>
      <c r="CY342" s="74"/>
      <c r="CZ342" s="74"/>
      <c r="DA342" s="74"/>
      <c r="DB342" s="74"/>
      <c r="DC342" s="74"/>
    </row>
    <row r="343" spans="15:107" customFormat="1" x14ac:dyDescent="0.35">
      <c r="O343" s="76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74"/>
      <c r="AR343" s="74"/>
      <c r="AS343" s="74"/>
      <c r="AT343" s="74"/>
      <c r="AU343" s="74"/>
      <c r="AV343" s="74"/>
      <c r="AW343" s="74"/>
      <c r="AX343" s="74"/>
      <c r="AY343" s="74"/>
      <c r="AZ343" s="74"/>
      <c r="BA343" s="74"/>
      <c r="BB343" s="74"/>
      <c r="BC343" s="74"/>
      <c r="BD343" s="74"/>
      <c r="BE343" s="74"/>
      <c r="BF343" s="74"/>
      <c r="BG343" s="74"/>
      <c r="BH343" s="74"/>
      <c r="BI343" s="74"/>
      <c r="BJ343" s="74"/>
      <c r="BK343" s="74"/>
      <c r="BL343" s="74"/>
      <c r="BM343" s="74"/>
      <c r="BN343" s="74"/>
      <c r="BO343" s="74"/>
      <c r="BP343" s="74"/>
      <c r="BQ343" s="74"/>
      <c r="BR343" s="74"/>
      <c r="BS343" s="74"/>
      <c r="BT343" s="74"/>
      <c r="BU343" s="74"/>
      <c r="BV343" s="74"/>
      <c r="BW343" s="74"/>
      <c r="BX343" s="74"/>
      <c r="BY343" s="74"/>
      <c r="BZ343" s="74"/>
      <c r="CA343" s="74"/>
      <c r="CB343" s="74"/>
      <c r="CC343" s="74"/>
      <c r="CD343" s="74"/>
      <c r="CE343" s="74"/>
      <c r="CF343" s="74"/>
      <c r="CG343" s="74"/>
      <c r="CH343" s="74"/>
      <c r="CI343" s="74"/>
      <c r="CJ343" s="74"/>
      <c r="CK343" s="74"/>
      <c r="CL343" s="74"/>
      <c r="CM343" s="74"/>
      <c r="CN343" s="74"/>
      <c r="CO343" s="74"/>
      <c r="CP343" s="74"/>
      <c r="CQ343" s="74"/>
      <c r="CR343" s="74"/>
      <c r="CS343" s="74"/>
      <c r="CT343" s="74"/>
      <c r="CU343" s="74"/>
      <c r="CV343" s="74"/>
      <c r="CW343" s="74"/>
      <c r="CX343" s="74"/>
      <c r="CY343" s="74"/>
      <c r="CZ343" s="74"/>
      <c r="DA343" s="74"/>
      <c r="DB343" s="74"/>
      <c r="DC343" s="74"/>
    </row>
    <row r="344" spans="15:107" customFormat="1" x14ac:dyDescent="0.35">
      <c r="O344" s="76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  <c r="AS344" s="74"/>
      <c r="AT344" s="74"/>
      <c r="AU344" s="74"/>
      <c r="AV344" s="74"/>
      <c r="AW344" s="74"/>
      <c r="AX344" s="74"/>
      <c r="AY344" s="74"/>
      <c r="AZ344" s="74"/>
      <c r="BA344" s="74"/>
      <c r="BB344" s="74"/>
      <c r="BC344" s="74"/>
      <c r="BD344" s="74"/>
      <c r="BE344" s="74"/>
      <c r="BF344" s="74"/>
      <c r="BG344" s="74"/>
      <c r="BH344" s="74"/>
      <c r="BI344" s="74"/>
      <c r="BJ344" s="74"/>
      <c r="BK344" s="74"/>
      <c r="BL344" s="74"/>
      <c r="BM344" s="74"/>
      <c r="BN344" s="74"/>
      <c r="BO344" s="74"/>
      <c r="BP344" s="74"/>
      <c r="BQ344" s="74"/>
      <c r="BR344" s="74"/>
      <c r="BS344" s="74"/>
      <c r="BT344" s="74"/>
      <c r="BU344" s="74"/>
      <c r="BV344" s="74"/>
      <c r="BW344" s="74"/>
      <c r="BX344" s="74"/>
      <c r="BY344" s="74"/>
      <c r="BZ344" s="74"/>
      <c r="CA344" s="74"/>
      <c r="CB344" s="74"/>
      <c r="CC344" s="74"/>
      <c r="CD344" s="74"/>
      <c r="CE344" s="74"/>
      <c r="CF344" s="74"/>
      <c r="CG344" s="74"/>
      <c r="CH344" s="74"/>
      <c r="CI344" s="74"/>
      <c r="CJ344" s="74"/>
      <c r="CK344" s="74"/>
      <c r="CL344" s="74"/>
      <c r="CM344" s="74"/>
      <c r="CN344" s="74"/>
      <c r="CO344" s="74"/>
      <c r="CP344" s="74"/>
      <c r="CQ344" s="74"/>
      <c r="CR344" s="74"/>
      <c r="CS344" s="74"/>
      <c r="CT344" s="74"/>
      <c r="CU344" s="74"/>
      <c r="CV344" s="74"/>
      <c r="CW344" s="74"/>
      <c r="CX344" s="74"/>
      <c r="CY344" s="74"/>
      <c r="CZ344" s="74"/>
      <c r="DA344" s="74"/>
      <c r="DB344" s="74"/>
      <c r="DC344" s="74"/>
    </row>
    <row r="345" spans="15:107" customFormat="1" x14ac:dyDescent="0.35">
      <c r="O345" s="76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74"/>
      <c r="AR345" s="74"/>
      <c r="AS345" s="74"/>
      <c r="AT345" s="74"/>
      <c r="AU345" s="74"/>
      <c r="AV345" s="74"/>
      <c r="AW345" s="74"/>
      <c r="AX345" s="74"/>
      <c r="AY345" s="74"/>
      <c r="AZ345" s="74"/>
      <c r="BA345" s="74"/>
      <c r="BB345" s="74"/>
      <c r="BC345" s="74"/>
      <c r="BD345" s="74"/>
      <c r="BE345" s="74"/>
      <c r="BF345" s="74"/>
      <c r="BG345" s="74"/>
      <c r="BH345" s="74"/>
      <c r="BI345" s="74"/>
      <c r="BJ345" s="74"/>
      <c r="BK345" s="74"/>
      <c r="BL345" s="74"/>
      <c r="BM345" s="74"/>
      <c r="BN345" s="74"/>
      <c r="BO345" s="74"/>
      <c r="BP345" s="74"/>
      <c r="BQ345" s="74"/>
      <c r="BR345" s="74"/>
      <c r="BS345" s="74"/>
      <c r="BT345" s="74"/>
      <c r="BU345" s="74"/>
      <c r="BV345" s="74"/>
      <c r="BW345" s="74"/>
      <c r="BX345" s="74"/>
      <c r="BY345" s="74"/>
      <c r="BZ345" s="74"/>
      <c r="CA345" s="74"/>
      <c r="CB345" s="74"/>
      <c r="CC345" s="74"/>
      <c r="CD345" s="74"/>
      <c r="CE345" s="74"/>
      <c r="CF345" s="74"/>
      <c r="CG345" s="74"/>
      <c r="CH345" s="74"/>
      <c r="CI345" s="74"/>
      <c r="CJ345" s="74"/>
      <c r="CK345" s="74"/>
      <c r="CL345" s="74"/>
      <c r="CM345" s="74"/>
      <c r="CN345" s="74"/>
      <c r="CO345" s="74"/>
      <c r="CP345" s="74"/>
      <c r="CQ345" s="74"/>
      <c r="CR345" s="74"/>
      <c r="CS345" s="74"/>
      <c r="CT345" s="74"/>
      <c r="CU345" s="74"/>
      <c r="CV345" s="74"/>
      <c r="CW345" s="74"/>
      <c r="CX345" s="74"/>
      <c r="CY345" s="74"/>
      <c r="CZ345" s="74"/>
      <c r="DA345" s="74"/>
      <c r="DB345" s="74"/>
      <c r="DC345" s="74"/>
    </row>
    <row r="346" spans="15:107" customFormat="1" x14ac:dyDescent="0.35">
      <c r="O346" s="76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74"/>
      <c r="AR346" s="74"/>
      <c r="AS346" s="74"/>
      <c r="AT346" s="74"/>
      <c r="AU346" s="74"/>
      <c r="AV346" s="74"/>
      <c r="AW346" s="74"/>
      <c r="AX346" s="74"/>
      <c r="AY346" s="74"/>
      <c r="AZ346" s="74"/>
      <c r="BA346" s="74"/>
      <c r="BB346" s="74"/>
      <c r="BC346" s="74"/>
      <c r="BD346" s="74"/>
      <c r="BE346" s="74"/>
      <c r="BF346" s="74"/>
      <c r="BG346" s="74"/>
      <c r="BH346" s="74"/>
      <c r="BI346" s="74"/>
      <c r="BJ346" s="74"/>
      <c r="BK346" s="74"/>
      <c r="BL346" s="74"/>
      <c r="BM346" s="74"/>
      <c r="BN346" s="74"/>
      <c r="BO346" s="74"/>
      <c r="BP346" s="74"/>
      <c r="BQ346" s="74"/>
      <c r="BR346" s="74"/>
      <c r="BS346" s="74"/>
      <c r="BT346" s="74"/>
      <c r="BU346" s="74"/>
      <c r="BV346" s="74"/>
      <c r="BW346" s="74"/>
      <c r="BX346" s="74"/>
      <c r="BY346" s="74"/>
      <c r="BZ346" s="74"/>
      <c r="CA346" s="74"/>
      <c r="CB346" s="74"/>
      <c r="CC346" s="74"/>
      <c r="CD346" s="74"/>
      <c r="CE346" s="74"/>
      <c r="CF346" s="74"/>
      <c r="CG346" s="74"/>
      <c r="CH346" s="74"/>
      <c r="CI346" s="74"/>
      <c r="CJ346" s="74"/>
      <c r="CK346" s="74"/>
      <c r="CL346" s="74"/>
      <c r="CM346" s="74"/>
      <c r="CN346" s="74"/>
      <c r="CO346" s="74"/>
      <c r="CP346" s="74"/>
      <c r="CQ346" s="74"/>
      <c r="CR346" s="74"/>
      <c r="CS346" s="74"/>
      <c r="CT346" s="74"/>
      <c r="CU346" s="74"/>
      <c r="CV346" s="74"/>
      <c r="CW346" s="74"/>
      <c r="CX346" s="74"/>
      <c r="CY346" s="74"/>
      <c r="CZ346" s="74"/>
      <c r="DA346" s="74"/>
      <c r="DB346" s="74"/>
      <c r="DC346" s="74"/>
    </row>
    <row r="347" spans="15:107" customFormat="1" x14ac:dyDescent="0.35">
      <c r="O347" s="76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74"/>
      <c r="AR347" s="74"/>
      <c r="AS347" s="74"/>
      <c r="AT347" s="74"/>
      <c r="AU347" s="74"/>
      <c r="AV347" s="74"/>
      <c r="AW347" s="74"/>
      <c r="AX347" s="74"/>
      <c r="AY347" s="74"/>
      <c r="AZ347" s="74"/>
      <c r="BA347" s="74"/>
      <c r="BB347" s="74"/>
      <c r="BC347" s="74"/>
      <c r="BD347" s="74"/>
      <c r="BE347" s="74"/>
      <c r="BF347" s="74"/>
      <c r="BG347" s="74"/>
      <c r="BH347" s="74"/>
      <c r="BI347" s="74"/>
      <c r="BJ347" s="74"/>
      <c r="BK347" s="74"/>
      <c r="BL347" s="74"/>
      <c r="BM347" s="74"/>
      <c r="BN347" s="74"/>
      <c r="BO347" s="74"/>
      <c r="BP347" s="74"/>
      <c r="BQ347" s="74"/>
      <c r="BR347" s="74"/>
      <c r="BS347" s="74"/>
      <c r="BT347" s="74"/>
      <c r="BU347" s="74"/>
      <c r="BV347" s="74"/>
      <c r="BW347" s="74"/>
      <c r="BX347" s="74"/>
      <c r="BY347" s="74"/>
      <c r="BZ347" s="74"/>
      <c r="CA347" s="74"/>
      <c r="CB347" s="74"/>
      <c r="CC347" s="74"/>
      <c r="CD347" s="74"/>
      <c r="CE347" s="74"/>
      <c r="CF347" s="74"/>
      <c r="CG347" s="74"/>
      <c r="CH347" s="74"/>
      <c r="CI347" s="74"/>
      <c r="CJ347" s="74"/>
      <c r="CK347" s="74"/>
      <c r="CL347" s="74"/>
      <c r="CM347" s="74"/>
      <c r="CN347" s="74"/>
      <c r="CO347" s="74"/>
      <c r="CP347" s="74"/>
      <c r="CQ347" s="74"/>
      <c r="CR347" s="74"/>
      <c r="CS347" s="74"/>
      <c r="CT347" s="74"/>
      <c r="CU347" s="74"/>
      <c r="CV347" s="74"/>
      <c r="CW347" s="74"/>
      <c r="CX347" s="74"/>
      <c r="CY347" s="74"/>
      <c r="CZ347" s="74"/>
      <c r="DA347" s="74"/>
      <c r="DB347" s="74"/>
      <c r="DC347" s="74"/>
    </row>
    <row r="348" spans="15:107" customFormat="1" x14ac:dyDescent="0.35">
      <c r="O348" s="76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  <c r="AS348" s="74"/>
      <c r="AT348" s="74"/>
      <c r="AU348" s="74"/>
      <c r="AV348" s="74"/>
      <c r="AW348" s="74"/>
      <c r="AX348" s="74"/>
      <c r="AY348" s="74"/>
      <c r="AZ348" s="74"/>
      <c r="BA348" s="74"/>
      <c r="BB348" s="74"/>
      <c r="BC348" s="74"/>
      <c r="BD348" s="74"/>
      <c r="BE348" s="74"/>
      <c r="BF348" s="74"/>
      <c r="BG348" s="74"/>
      <c r="BH348" s="74"/>
      <c r="BI348" s="74"/>
      <c r="BJ348" s="74"/>
      <c r="BK348" s="74"/>
      <c r="BL348" s="74"/>
      <c r="BM348" s="74"/>
      <c r="BN348" s="74"/>
      <c r="BO348" s="74"/>
      <c r="BP348" s="74"/>
      <c r="BQ348" s="74"/>
      <c r="BR348" s="74"/>
      <c r="BS348" s="74"/>
      <c r="BT348" s="74"/>
      <c r="BU348" s="74"/>
      <c r="BV348" s="74"/>
      <c r="BW348" s="74"/>
      <c r="BX348" s="74"/>
      <c r="BY348" s="74"/>
      <c r="BZ348" s="74"/>
      <c r="CA348" s="74"/>
      <c r="CB348" s="74"/>
      <c r="CC348" s="74"/>
      <c r="CD348" s="74"/>
      <c r="CE348" s="74"/>
      <c r="CF348" s="74"/>
      <c r="CG348" s="74"/>
      <c r="CH348" s="74"/>
      <c r="CI348" s="74"/>
      <c r="CJ348" s="74"/>
      <c r="CK348" s="74"/>
      <c r="CL348" s="74"/>
      <c r="CM348" s="74"/>
      <c r="CN348" s="74"/>
      <c r="CO348" s="74"/>
      <c r="CP348" s="74"/>
      <c r="CQ348" s="74"/>
      <c r="CR348" s="74"/>
      <c r="CS348" s="74"/>
      <c r="CT348" s="74"/>
      <c r="CU348" s="74"/>
      <c r="CV348" s="74"/>
      <c r="CW348" s="74"/>
      <c r="CX348" s="74"/>
      <c r="CY348" s="74"/>
      <c r="CZ348" s="74"/>
      <c r="DA348" s="74"/>
      <c r="DB348" s="74"/>
      <c r="DC348" s="74"/>
    </row>
    <row r="349" spans="15:107" customFormat="1" x14ac:dyDescent="0.35">
      <c r="O349" s="76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  <c r="AS349" s="74"/>
      <c r="AT349" s="74"/>
      <c r="AU349" s="74"/>
      <c r="AV349" s="74"/>
      <c r="AW349" s="74"/>
      <c r="AX349" s="74"/>
      <c r="AY349" s="74"/>
      <c r="AZ349" s="74"/>
      <c r="BA349" s="74"/>
      <c r="BB349" s="74"/>
      <c r="BC349" s="74"/>
      <c r="BD349" s="74"/>
      <c r="BE349" s="74"/>
      <c r="BF349" s="74"/>
      <c r="BG349" s="74"/>
      <c r="BH349" s="74"/>
      <c r="BI349" s="74"/>
      <c r="BJ349" s="74"/>
      <c r="BK349" s="74"/>
      <c r="BL349" s="74"/>
      <c r="BM349" s="74"/>
      <c r="BN349" s="74"/>
      <c r="BO349" s="74"/>
      <c r="BP349" s="74"/>
      <c r="BQ349" s="74"/>
      <c r="BR349" s="74"/>
      <c r="BS349" s="74"/>
      <c r="BT349" s="74"/>
      <c r="BU349" s="74"/>
      <c r="BV349" s="74"/>
      <c r="BW349" s="74"/>
      <c r="BX349" s="74"/>
      <c r="BY349" s="74"/>
      <c r="BZ349" s="74"/>
      <c r="CA349" s="74"/>
      <c r="CB349" s="74"/>
      <c r="CC349" s="74"/>
      <c r="CD349" s="74"/>
      <c r="CE349" s="74"/>
      <c r="CF349" s="74"/>
      <c r="CG349" s="74"/>
      <c r="CH349" s="74"/>
      <c r="CI349" s="74"/>
      <c r="CJ349" s="74"/>
      <c r="CK349" s="74"/>
      <c r="CL349" s="74"/>
      <c r="CM349" s="74"/>
      <c r="CN349" s="74"/>
      <c r="CO349" s="74"/>
      <c r="CP349" s="74"/>
      <c r="CQ349" s="74"/>
      <c r="CR349" s="74"/>
      <c r="CS349" s="74"/>
      <c r="CT349" s="74"/>
      <c r="CU349" s="74"/>
      <c r="CV349" s="74"/>
      <c r="CW349" s="74"/>
      <c r="CX349" s="74"/>
      <c r="CY349" s="74"/>
      <c r="CZ349" s="74"/>
      <c r="DA349" s="74"/>
      <c r="DB349" s="74"/>
      <c r="DC349" s="74"/>
    </row>
    <row r="350" spans="15:107" customFormat="1" x14ac:dyDescent="0.35">
      <c r="O350" s="76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  <c r="AS350" s="74"/>
      <c r="AT350" s="74"/>
      <c r="AU350" s="74"/>
      <c r="AV350" s="74"/>
      <c r="AW350" s="74"/>
      <c r="AX350" s="74"/>
      <c r="AY350" s="74"/>
      <c r="AZ350" s="74"/>
      <c r="BA350" s="74"/>
      <c r="BB350" s="74"/>
      <c r="BC350" s="74"/>
      <c r="BD350" s="74"/>
      <c r="BE350" s="74"/>
      <c r="BF350" s="74"/>
      <c r="BG350" s="74"/>
      <c r="BH350" s="74"/>
      <c r="BI350" s="74"/>
      <c r="BJ350" s="74"/>
      <c r="BK350" s="74"/>
      <c r="BL350" s="74"/>
      <c r="BM350" s="74"/>
      <c r="BN350" s="74"/>
      <c r="BO350" s="74"/>
      <c r="BP350" s="74"/>
      <c r="BQ350" s="74"/>
      <c r="BR350" s="74"/>
      <c r="BS350" s="74"/>
      <c r="BT350" s="74"/>
      <c r="BU350" s="74"/>
      <c r="BV350" s="74"/>
      <c r="BW350" s="74"/>
      <c r="BX350" s="74"/>
      <c r="BY350" s="74"/>
      <c r="BZ350" s="74"/>
      <c r="CA350" s="74"/>
      <c r="CB350" s="74"/>
      <c r="CC350" s="74"/>
      <c r="CD350" s="74"/>
      <c r="CE350" s="74"/>
      <c r="CF350" s="74"/>
      <c r="CG350" s="74"/>
      <c r="CH350" s="74"/>
      <c r="CI350" s="74"/>
      <c r="CJ350" s="74"/>
      <c r="CK350" s="74"/>
      <c r="CL350" s="74"/>
      <c r="CM350" s="74"/>
      <c r="CN350" s="74"/>
      <c r="CO350" s="74"/>
      <c r="CP350" s="74"/>
      <c r="CQ350" s="74"/>
      <c r="CR350" s="74"/>
      <c r="CS350" s="74"/>
      <c r="CT350" s="74"/>
      <c r="CU350" s="74"/>
      <c r="CV350" s="74"/>
      <c r="CW350" s="74"/>
      <c r="CX350" s="74"/>
      <c r="CY350" s="74"/>
      <c r="CZ350" s="74"/>
      <c r="DA350" s="74"/>
      <c r="DB350" s="74"/>
      <c r="DC350" s="74"/>
    </row>
    <row r="351" spans="15:107" customFormat="1" x14ac:dyDescent="0.35">
      <c r="O351" s="76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74"/>
      <c r="AR351" s="74"/>
      <c r="AS351" s="74"/>
      <c r="AT351" s="74"/>
      <c r="AU351" s="74"/>
      <c r="AV351" s="74"/>
      <c r="AW351" s="74"/>
      <c r="AX351" s="74"/>
      <c r="AY351" s="74"/>
      <c r="AZ351" s="74"/>
      <c r="BA351" s="74"/>
      <c r="BB351" s="74"/>
      <c r="BC351" s="74"/>
      <c r="BD351" s="74"/>
      <c r="BE351" s="74"/>
      <c r="BF351" s="74"/>
      <c r="BG351" s="74"/>
      <c r="BH351" s="74"/>
      <c r="BI351" s="74"/>
      <c r="BJ351" s="74"/>
      <c r="BK351" s="74"/>
      <c r="BL351" s="74"/>
      <c r="BM351" s="74"/>
      <c r="BN351" s="74"/>
      <c r="BO351" s="74"/>
      <c r="BP351" s="74"/>
      <c r="BQ351" s="74"/>
      <c r="BR351" s="74"/>
      <c r="BS351" s="74"/>
      <c r="BT351" s="74"/>
      <c r="BU351" s="74"/>
      <c r="BV351" s="74"/>
      <c r="BW351" s="74"/>
      <c r="BX351" s="74"/>
      <c r="BY351" s="74"/>
      <c r="BZ351" s="74"/>
      <c r="CA351" s="74"/>
      <c r="CB351" s="74"/>
      <c r="CC351" s="74"/>
      <c r="CD351" s="74"/>
      <c r="CE351" s="74"/>
      <c r="CF351" s="74"/>
      <c r="CG351" s="74"/>
      <c r="CH351" s="74"/>
      <c r="CI351" s="74"/>
      <c r="CJ351" s="74"/>
      <c r="CK351" s="74"/>
      <c r="CL351" s="74"/>
      <c r="CM351" s="74"/>
      <c r="CN351" s="74"/>
      <c r="CO351" s="74"/>
      <c r="CP351" s="74"/>
      <c r="CQ351" s="74"/>
      <c r="CR351" s="74"/>
      <c r="CS351" s="74"/>
      <c r="CT351" s="74"/>
      <c r="CU351" s="74"/>
      <c r="CV351" s="74"/>
      <c r="CW351" s="74"/>
      <c r="CX351" s="74"/>
      <c r="CY351" s="74"/>
      <c r="CZ351" s="74"/>
      <c r="DA351" s="74"/>
      <c r="DB351" s="74"/>
      <c r="DC351" s="74"/>
    </row>
    <row r="352" spans="15:107" customFormat="1" x14ac:dyDescent="0.35">
      <c r="O352" s="76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  <c r="AS352" s="74"/>
      <c r="AT352" s="74"/>
      <c r="AU352" s="74"/>
      <c r="AV352" s="74"/>
      <c r="AW352" s="74"/>
      <c r="AX352" s="74"/>
      <c r="AY352" s="74"/>
      <c r="AZ352" s="74"/>
      <c r="BA352" s="74"/>
      <c r="BB352" s="74"/>
      <c r="BC352" s="74"/>
      <c r="BD352" s="74"/>
      <c r="BE352" s="74"/>
      <c r="BF352" s="74"/>
      <c r="BG352" s="74"/>
      <c r="BH352" s="74"/>
      <c r="BI352" s="74"/>
      <c r="BJ352" s="74"/>
      <c r="BK352" s="74"/>
      <c r="BL352" s="74"/>
      <c r="BM352" s="74"/>
      <c r="BN352" s="74"/>
      <c r="BO352" s="74"/>
      <c r="BP352" s="74"/>
      <c r="BQ352" s="74"/>
      <c r="BR352" s="74"/>
      <c r="BS352" s="74"/>
      <c r="BT352" s="74"/>
      <c r="BU352" s="74"/>
      <c r="BV352" s="74"/>
      <c r="BW352" s="74"/>
      <c r="BX352" s="74"/>
      <c r="BY352" s="74"/>
      <c r="BZ352" s="74"/>
      <c r="CA352" s="74"/>
      <c r="CB352" s="74"/>
      <c r="CC352" s="74"/>
      <c r="CD352" s="74"/>
      <c r="CE352" s="74"/>
      <c r="CF352" s="74"/>
      <c r="CG352" s="74"/>
      <c r="CH352" s="74"/>
      <c r="CI352" s="74"/>
      <c r="CJ352" s="74"/>
      <c r="CK352" s="74"/>
      <c r="CL352" s="74"/>
      <c r="CM352" s="74"/>
      <c r="CN352" s="74"/>
      <c r="CO352" s="74"/>
      <c r="CP352" s="74"/>
      <c r="CQ352" s="74"/>
      <c r="CR352" s="74"/>
      <c r="CS352" s="74"/>
      <c r="CT352" s="74"/>
      <c r="CU352" s="74"/>
      <c r="CV352" s="74"/>
      <c r="CW352" s="74"/>
      <c r="CX352" s="74"/>
      <c r="CY352" s="74"/>
      <c r="CZ352" s="74"/>
      <c r="DA352" s="74"/>
      <c r="DB352" s="74"/>
      <c r="DC352" s="74"/>
    </row>
    <row r="353" spans="15:107" customFormat="1" x14ac:dyDescent="0.35">
      <c r="O353" s="76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  <c r="AS353" s="74"/>
      <c r="AT353" s="74"/>
      <c r="AU353" s="74"/>
      <c r="AV353" s="74"/>
      <c r="AW353" s="74"/>
      <c r="AX353" s="74"/>
      <c r="AY353" s="74"/>
      <c r="AZ353" s="74"/>
      <c r="BA353" s="74"/>
      <c r="BB353" s="74"/>
      <c r="BC353" s="74"/>
      <c r="BD353" s="74"/>
      <c r="BE353" s="74"/>
      <c r="BF353" s="74"/>
      <c r="BG353" s="74"/>
      <c r="BH353" s="74"/>
      <c r="BI353" s="74"/>
      <c r="BJ353" s="74"/>
      <c r="BK353" s="74"/>
      <c r="BL353" s="74"/>
      <c r="BM353" s="74"/>
      <c r="BN353" s="74"/>
      <c r="BO353" s="74"/>
      <c r="BP353" s="74"/>
      <c r="BQ353" s="74"/>
      <c r="BR353" s="74"/>
      <c r="BS353" s="74"/>
      <c r="BT353" s="74"/>
      <c r="BU353" s="74"/>
      <c r="BV353" s="74"/>
      <c r="BW353" s="74"/>
      <c r="BX353" s="74"/>
      <c r="BY353" s="74"/>
      <c r="BZ353" s="74"/>
      <c r="CA353" s="74"/>
      <c r="CB353" s="74"/>
      <c r="CC353" s="74"/>
      <c r="CD353" s="74"/>
      <c r="CE353" s="74"/>
      <c r="CF353" s="74"/>
      <c r="CG353" s="74"/>
      <c r="CH353" s="74"/>
      <c r="CI353" s="74"/>
      <c r="CJ353" s="74"/>
      <c r="CK353" s="74"/>
      <c r="CL353" s="74"/>
      <c r="CM353" s="74"/>
      <c r="CN353" s="74"/>
      <c r="CO353" s="74"/>
      <c r="CP353" s="74"/>
      <c r="CQ353" s="74"/>
      <c r="CR353" s="74"/>
      <c r="CS353" s="74"/>
      <c r="CT353" s="74"/>
      <c r="CU353" s="74"/>
      <c r="CV353" s="74"/>
      <c r="CW353" s="74"/>
      <c r="CX353" s="74"/>
      <c r="CY353" s="74"/>
      <c r="CZ353" s="74"/>
      <c r="DA353" s="74"/>
      <c r="DB353" s="74"/>
      <c r="DC353" s="74"/>
    </row>
    <row r="354" spans="15:107" customFormat="1" x14ac:dyDescent="0.35">
      <c r="O354" s="76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74"/>
      <c r="AR354" s="74"/>
      <c r="AS354" s="74"/>
      <c r="AT354" s="74"/>
      <c r="AU354" s="74"/>
      <c r="AV354" s="74"/>
      <c r="AW354" s="74"/>
      <c r="AX354" s="74"/>
      <c r="AY354" s="74"/>
      <c r="AZ354" s="74"/>
      <c r="BA354" s="74"/>
      <c r="BB354" s="74"/>
      <c r="BC354" s="74"/>
      <c r="BD354" s="74"/>
      <c r="BE354" s="74"/>
      <c r="BF354" s="74"/>
      <c r="BG354" s="74"/>
      <c r="BH354" s="74"/>
      <c r="BI354" s="74"/>
      <c r="BJ354" s="74"/>
      <c r="BK354" s="74"/>
      <c r="BL354" s="74"/>
      <c r="BM354" s="74"/>
      <c r="BN354" s="74"/>
      <c r="BO354" s="74"/>
      <c r="BP354" s="74"/>
      <c r="BQ354" s="74"/>
      <c r="BR354" s="74"/>
      <c r="BS354" s="74"/>
      <c r="BT354" s="74"/>
      <c r="BU354" s="74"/>
      <c r="BV354" s="74"/>
      <c r="BW354" s="74"/>
      <c r="BX354" s="74"/>
      <c r="BY354" s="74"/>
      <c r="BZ354" s="74"/>
      <c r="CA354" s="74"/>
      <c r="CB354" s="74"/>
      <c r="CC354" s="74"/>
      <c r="CD354" s="74"/>
      <c r="CE354" s="74"/>
      <c r="CF354" s="74"/>
      <c r="CG354" s="74"/>
      <c r="CH354" s="74"/>
      <c r="CI354" s="74"/>
      <c r="CJ354" s="74"/>
      <c r="CK354" s="74"/>
      <c r="CL354" s="74"/>
      <c r="CM354" s="74"/>
      <c r="CN354" s="74"/>
      <c r="CO354" s="74"/>
      <c r="CP354" s="74"/>
      <c r="CQ354" s="74"/>
      <c r="CR354" s="74"/>
      <c r="CS354" s="74"/>
      <c r="CT354" s="74"/>
      <c r="CU354" s="74"/>
      <c r="CV354" s="74"/>
      <c r="CW354" s="74"/>
      <c r="CX354" s="74"/>
      <c r="CY354" s="74"/>
      <c r="CZ354" s="74"/>
      <c r="DA354" s="74"/>
      <c r="DB354" s="74"/>
      <c r="DC354" s="74"/>
    </row>
    <row r="355" spans="15:107" customFormat="1" x14ac:dyDescent="0.35">
      <c r="O355" s="76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74"/>
      <c r="AR355" s="74"/>
      <c r="AS355" s="74"/>
      <c r="AT355" s="74"/>
      <c r="AU355" s="74"/>
      <c r="AV355" s="74"/>
      <c r="AW355" s="74"/>
      <c r="AX355" s="74"/>
      <c r="AY355" s="74"/>
      <c r="AZ355" s="74"/>
      <c r="BA355" s="74"/>
      <c r="BB355" s="74"/>
      <c r="BC355" s="74"/>
      <c r="BD355" s="74"/>
      <c r="BE355" s="74"/>
      <c r="BF355" s="74"/>
      <c r="BG355" s="74"/>
      <c r="BH355" s="74"/>
      <c r="BI355" s="74"/>
      <c r="BJ355" s="74"/>
      <c r="BK355" s="74"/>
      <c r="BL355" s="74"/>
      <c r="BM355" s="74"/>
      <c r="BN355" s="74"/>
      <c r="BO355" s="74"/>
      <c r="BP355" s="74"/>
      <c r="BQ355" s="74"/>
      <c r="BR355" s="74"/>
      <c r="BS355" s="74"/>
      <c r="BT355" s="74"/>
      <c r="BU355" s="74"/>
      <c r="BV355" s="74"/>
      <c r="BW355" s="74"/>
      <c r="BX355" s="74"/>
      <c r="BY355" s="74"/>
      <c r="BZ355" s="74"/>
      <c r="CA355" s="74"/>
      <c r="CB355" s="74"/>
      <c r="CC355" s="74"/>
      <c r="CD355" s="74"/>
      <c r="CE355" s="74"/>
      <c r="CF355" s="74"/>
      <c r="CG355" s="74"/>
      <c r="CH355" s="74"/>
      <c r="CI355" s="74"/>
      <c r="CJ355" s="74"/>
      <c r="CK355" s="74"/>
      <c r="CL355" s="74"/>
      <c r="CM355" s="74"/>
      <c r="CN355" s="74"/>
      <c r="CO355" s="74"/>
      <c r="CP355" s="74"/>
      <c r="CQ355" s="74"/>
      <c r="CR355" s="74"/>
      <c r="CS355" s="74"/>
      <c r="CT355" s="74"/>
      <c r="CU355" s="74"/>
      <c r="CV355" s="74"/>
      <c r="CW355" s="74"/>
      <c r="CX355" s="74"/>
      <c r="CY355" s="74"/>
      <c r="CZ355" s="74"/>
      <c r="DA355" s="74"/>
      <c r="DB355" s="74"/>
      <c r="DC355" s="74"/>
    </row>
    <row r="356" spans="15:107" customFormat="1" x14ac:dyDescent="0.35">
      <c r="O356" s="76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  <c r="AO356" s="74"/>
      <c r="AP356" s="74"/>
      <c r="AQ356" s="74"/>
      <c r="AR356" s="74"/>
      <c r="AS356" s="74"/>
      <c r="AT356" s="74"/>
      <c r="AU356" s="74"/>
      <c r="AV356" s="74"/>
      <c r="AW356" s="74"/>
      <c r="AX356" s="74"/>
      <c r="AY356" s="74"/>
      <c r="AZ356" s="74"/>
      <c r="BA356" s="74"/>
      <c r="BB356" s="74"/>
      <c r="BC356" s="74"/>
      <c r="BD356" s="74"/>
      <c r="BE356" s="74"/>
      <c r="BF356" s="74"/>
      <c r="BG356" s="74"/>
      <c r="BH356" s="74"/>
      <c r="BI356" s="74"/>
      <c r="BJ356" s="74"/>
      <c r="BK356" s="74"/>
      <c r="BL356" s="74"/>
      <c r="BM356" s="74"/>
      <c r="BN356" s="74"/>
      <c r="BO356" s="74"/>
      <c r="BP356" s="74"/>
      <c r="BQ356" s="74"/>
      <c r="BR356" s="74"/>
      <c r="BS356" s="74"/>
      <c r="BT356" s="74"/>
      <c r="BU356" s="74"/>
      <c r="BV356" s="74"/>
      <c r="BW356" s="74"/>
      <c r="BX356" s="74"/>
      <c r="BY356" s="74"/>
      <c r="BZ356" s="74"/>
      <c r="CA356" s="74"/>
      <c r="CB356" s="74"/>
      <c r="CC356" s="74"/>
      <c r="CD356" s="74"/>
      <c r="CE356" s="74"/>
      <c r="CF356" s="74"/>
      <c r="CG356" s="74"/>
      <c r="CH356" s="74"/>
      <c r="CI356" s="74"/>
      <c r="CJ356" s="74"/>
      <c r="CK356" s="74"/>
      <c r="CL356" s="74"/>
      <c r="CM356" s="74"/>
      <c r="CN356" s="74"/>
      <c r="CO356" s="74"/>
      <c r="CP356" s="74"/>
      <c r="CQ356" s="74"/>
      <c r="CR356" s="74"/>
      <c r="CS356" s="74"/>
      <c r="CT356" s="74"/>
      <c r="CU356" s="74"/>
      <c r="CV356" s="74"/>
      <c r="CW356" s="74"/>
      <c r="CX356" s="74"/>
      <c r="CY356" s="74"/>
      <c r="CZ356" s="74"/>
      <c r="DA356" s="74"/>
      <c r="DB356" s="74"/>
      <c r="DC356" s="74"/>
    </row>
    <row r="357" spans="15:107" customFormat="1" x14ac:dyDescent="0.35">
      <c r="O357" s="76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  <c r="AO357" s="74"/>
      <c r="AP357" s="74"/>
      <c r="AQ357" s="74"/>
      <c r="AR357" s="74"/>
      <c r="AS357" s="74"/>
      <c r="AT357" s="74"/>
      <c r="AU357" s="74"/>
      <c r="AV357" s="74"/>
      <c r="AW357" s="74"/>
      <c r="AX357" s="74"/>
      <c r="AY357" s="74"/>
      <c r="AZ357" s="74"/>
      <c r="BA357" s="74"/>
      <c r="BB357" s="74"/>
      <c r="BC357" s="74"/>
      <c r="BD357" s="74"/>
      <c r="BE357" s="74"/>
      <c r="BF357" s="74"/>
      <c r="BG357" s="74"/>
      <c r="BH357" s="74"/>
      <c r="BI357" s="74"/>
      <c r="BJ357" s="74"/>
      <c r="BK357" s="74"/>
      <c r="BL357" s="74"/>
      <c r="BM357" s="74"/>
      <c r="BN357" s="74"/>
      <c r="BO357" s="74"/>
      <c r="BP357" s="74"/>
      <c r="BQ357" s="74"/>
      <c r="BR357" s="74"/>
      <c r="BS357" s="74"/>
      <c r="BT357" s="74"/>
      <c r="BU357" s="74"/>
      <c r="BV357" s="74"/>
      <c r="BW357" s="74"/>
      <c r="BX357" s="74"/>
      <c r="BY357" s="74"/>
      <c r="BZ357" s="74"/>
      <c r="CA357" s="74"/>
      <c r="CB357" s="74"/>
      <c r="CC357" s="74"/>
      <c r="CD357" s="74"/>
      <c r="CE357" s="74"/>
      <c r="CF357" s="74"/>
      <c r="CG357" s="74"/>
      <c r="CH357" s="74"/>
      <c r="CI357" s="74"/>
      <c r="CJ357" s="74"/>
      <c r="CK357" s="74"/>
      <c r="CL357" s="74"/>
      <c r="CM357" s="74"/>
      <c r="CN357" s="74"/>
      <c r="CO357" s="74"/>
      <c r="CP357" s="74"/>
      <c r="CQ357" s="74"/>
      <c r="CR357" s="74"/>
      <c r="CS357" s="74"/>
      <c r="CT357" s="74"/>
      <c r="CU357" s="74"/>
      <c r="CV357" s="74"/>
      <c r="CW357" s="74"/>
      <c r="CX357" s="74"/>
      <c r="CY357" s="74"/>
      <c r="CZ357" s="74"/>
      <c r="DA357" s="74"/>
      <c r="DB357" s="74"/>
      <c r="DC357" s="74"/>
    </row>
    <row r="358" spans="15:107" customFormat="1" x14ac:dyDescent="0.35">
      <c r="O358" s="76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  <c r="AO358" s="74"/>
      <c r="AP358" s="74"/>
      <c r="AQ358" s="74"/>
      <c r="AR358" s="74"/>
      <c r="AS358" s="74"/>
      <c r="AT358" s="74"/>
      <c r="AU358" s="74"/>
      <c r="AV358" s="74"/>
      <c r="AW358" s="74"/>
      <c r="AX358" s="74"/>
      <c r="AY358" s="74"/>
      <c r="AZ358" s="74"/>
      <c r="BA358" s="74"/>
      <c r="BB358" s="74"/>
      <c r="BC358" s="74"/>
      <c r="BD358" s="74"/>
      <c r="BE358" s="74"/>
      <c r="BF358" s="74"/>
      <c r="BG358" s="74"/>
      <c r="BH358" s="74"/>
      <c r="BI358" s="74"/>
      <c r="BJ358" s="74"/>
      <c r="BK358" s="74"/>
      <c r="BL358" s="74"/>
      <c r="BM358" s="74"/>
      <c r="BN358" s="74"/>
      <c r="BO358" s="74"/>
      <c r="BP358" s="74"/>
      <c r="BQ358" s="74"/>
      <c r="BR358" s="74"/>
      <c r="BS358" s="74"/>
      <c r="BT358" s="74"/>
      <c r="BU358" s="74"/>
      <c r="BV358" s="74"/>
      <c r="BW358" s="74"/>
      <c r="BX358" s="74"/>
      <c r="BY358" s="74"/>
      <c r="BZ358" s="74"/>
      <c r="CA358" s="74"/>
      <c r="CB358" s="74"/>
      <c r="CC358" s="74"/>
      <c r="CD358" s="74"/>
      <c r="CE358" s="74"/>
      <c r="CF358" s="74"/>
      <c r="CG358" s="74"/>
      <c r="CH358" s="74"/>
      <c r="CI358" s="74"/>
      <c r="CJ358" s="74"/>
      <c r="CK358" s="74"/>
      <c r="CL358" s="74"/>
      <c r="CM358" s="74"/>
      <c r="CN358" s="74"/>
      <c r="CO358" s="74"/>
      <c r="CP358" s="74"/>
      <c r="CQ358" s="74"/>
      <c r="CR358" s="74"/>
      <c r="CS358" s="74"/>
      <c r="CT358" s="74"/>
      <c r="CU358" s="74"/>
      <c r="CV358" s="74"/>
      <c r="CW358" s="74"/>
      <c r="CX358" s="74"/>
      <c r="CY358" s="74"/>
      <c r="CZ358" s="74"/>
      <c r="DA358" s="74"/>
      <c r="DB358" s="74"/>
      <c r="DC358" s="74"/>
    </row>
    <row r="359" spans="15:107" customFormat="1" x14ac:dyDescent="0.35">
      <c r="O359" s="76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  <c r="AO359" s="74"/>
      <c r="AP359" s="74"/>
      <c r="AQ359" s="74"/>
      <c r="AR359" s="74"/>
      <c r="AS359" s="74"/>
      <c r="AT359" s="74"/>
      <c r="AU359" s="74"/>
      <c r="AV359" s="74"/>
      <c r="AW359" s="74"/>
      <c r="AX359" s="74"/>
      <c r="AY359" s="74"/>
      <c r="AZ359" s="74"/>
      <c r="BA359" s="74"/>
      <c r="BB359" s="74"/>
      <c r="BC359" s="74"/>
      <c r="BD359" s="74"/>
      <c r="BE359" s="74"/>
      <c r="BF359" s="74"/>
      <c r="BG359" s="74"/>
      <c r="BH359" s="74"/>
      <c r="BI359" s="74"/>
      <c r="BJ359" s="74"/>
      <c r="BK359" s="74"/>
      <c r="BL359" s="74"/>
      <c r="BM359" s="74"/>
      <c r="BN359" s="74"/>
      <c r="BO359" s="74"/>
      <c r="BP359" s="74"/>
      <c r="BQ359" s="74"/>
      <c r="BR359" s="74"/>
      <c r="BS359" s="74"/>
      <c r="BT359" s="74"/>
      <c r="BU359" s="74"/>
      <c r="BV359" s="74"/>
      <c r="BW359" s="74"/>
      <c r="BX359" s="74"/>
      <c r="BY359" s="74"/>
      <c r="BZ359" s="74"/>
      <c r="CA359" s="74"/>
      <c r="CB359" s="74"/>
      <c r="CC359" s="74"/>
      <c r="CD359" s="74"/>
      <c r="CE359" s="74"/>
      <c r="CF359" s="74"/>
      <c r="CG359" s="74"/>
      <c r="CH359" s="74"/>
      <c r="CI359" s="74"/>
      <c r="CJ359" s="74"/>
      <c r="CK359" s="74"/>
      <c r="CL359" s="74"/>
      <c r="CM359" s="74"/>
      <c r="CN359" s="74"/>
      <c r="CO359" s="74"/>
      <c r="CP359" s="74"/>
      <c r="CQ359" s="74"/>
      <c r="CR359" s="74"/>
      <c r="CS359" s="74"/>
      <c r="CT359" s="74"/>
      <c r="CU359" s="74"/>
      <c r="CV359" s="74"/>
      <c r="CW359" s="74"/>
      <c r="CX359" s="74"/>
      <c r="CY359" s="74"/>
      <c r="CZ359" s="74"/>
      <c r="DA359" s="74"/>
      <c r="DB359" s="74"/>
      <c r="DC359" s="74"/>
    </row>
    <row r="360" spans="15:107" customFormat="1" x14ac:dyDescent="0.35">
      <c r="O360" s="76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  <c r="AX360" s="74"/>
      <c r="AY360" s="74"/>
      <c r="AZ360" s="74"/>
      <c r="BA360" s="74"/>
      <c r="BB360" s="74"/>
      <c r="BC360" s="74"/>
      <c r="BD360" s="74"/>
      <c r="BE360" s="74"/>
      <c r="BF360" s="74"/>
      <c r="BG360" s="74"/>
      <c r="BH360" s="74"/>
      <c r="BI360" s="74"/>
      <c r="BJ360" s="74"/>
      <c r="BK360" s="74"/>
      <c r="BL360" s="74"/>
      <c r="BM360" s="74"/>
      <c r="BN360" s="74"/>
      <c r="BO360" s="74"/>
      <c r="BP360" s="74"/>
      <c r="BQ360" s="74"/>
      <c r="BR360" s="74"/>
      <c r="BS360" s="74"/>
      <c r="BT360" s="74"/>
      <c r="BU360" s="74"/>
      <c r="BV360" s="74"/>
      <c r="BW360" s="74"/>
      <c r="BX360" s="74"/>
      <c r="BY360" s="74"/>
      <c r="BZ360" s="74"/>
      <c r="CA360" s="74"/>
      <c r="CB360" s="74"/>
      <c r="CC360" s="74"/>
      <c r="CD360" s="74"/>
      <c r="CE360" s="74"/>
      <c r="CF360" s="74"/>
      <c r="CG360" s="74"/>
      <c r="CH360" s="74"/>
      <c r="CI360" s="74"/>
      <c r="CJ360" s="74"/>
      <c r="CK360" s="74"/>
      <c r="CL360" s="74"/>
      <c r="CM360" s="74"/>
      <c r="CN360" s="74"/>
      <c r="CO360" s="74"/>
      <c r="CP360" s="74"/>
      <c r="CQ360" s="74"/>
      <c r="CR360" s="74"/>
      <c r="CS360" s="74"/>
      <c r="CT360" s="74"/>
      <c r="CU360" s="74"/>
      <c r="CV360" s="74"/>
      <c r="CW360" s="74"/>
      <c r="CX360" s="74"/>
      <c r="CY360" s="74"/>
      <c r="CZ360" s="74"/>
      <c r="DA360" s="74"/>
      <c r="DB360" s="74"/>
      <c r="DC360" s="74"/>
    </row>
    <row r="361" spans="15:107" customFormat="1" x14ac:dyDescent="0.35">
      <c r="O361" s="76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74"/>
      <c r="AR361" s="74"/>
      <c r="AS361" s="74"/>
      <c r="AT361" s="74"/>
      <c r="AU361" s="74"/>
      <c r="AV361" s="74"/>
      <c r="AW361" s="74"/>
      <c r="AX361" s="74"/>
      <c r="AY361" s="74"/>
      <c r="AZ361" s="74"/>
      <c r="BA361" s="74"/>
      <c r="BB361" s="74"/>
      <c r="BC361" s="74"/>
      <c r="BD361" s="74"/>
      <c r="BE361" s="74"/>
      <c r="BF361" s="74"/>
      <c r="BG361" s="74"/>
      <c r="BH361" s="74"/>
      <c r="BI361" s="74"/>
      <c r="BJ361" s="74"/>
      <c r="BK361" s="74"/>
      <c r="BL361" s="74"/>
      <c r="BM361" s="74"/>
      <c r="BN361" s="74"/>
      <c r="BO361" s="74"/>
      <c r="BP361" s="74"/>
      <c r="BQ361" s="74"/>
      <c r="BR361" s="74"/>
      <c r="BS361" s="74"/>
      <c r="BT361" s="74"/>
      <c r="BU361" s="74"/>
      <c r="BV361" s="74"/>
      <c r="BW361" s="74"/>
      <c r="BX361" s="74"/>
      <c r="BY361" s="74"/>
      <c r="BZ361" s="74"/>
      <c r="CA361" s="74"/>
      <c r="CB361" s="74"/>
      <c r="CC361" s="74"/>
      <c r="CD361" s="74"/>
      <c r="CE361" s="74"/>
      <c r="CF361" s="74"/>
      <c r="CG361" s="74"/>
      <c r="CH361" s="74"/>
      <c r="CI361" s="74"/>
      <c r="CJ361" s="74"/>
      <c r="CK361" s="74"/>
      <c r="CL361" s="74"/>
      <c r="CM361" s="74"/>
      <c r="CN361" s="74"/>
      <c r="CO361" s="74"/>
      <c r="CP361" s="74"/>
      <c r="CQ361" s="74"/>
      <c r="CR361" s="74"/>
      <c r="CS361" s="74"/>
      <c r="CT361" s="74"/>
      <c r="CU361" s="74"/>
      <c r="CV361" s="74"/>
      <c r="CW361" s="74"/>
      <c r="CX361" s="74"/>
      <c r="CY361" s="74"/>
      <c r="CZ361" s="74"/>
      <c r="DA361" s="74"/>
      <c r="DB361" s="74"/>
      <c r="DC361" s="74"/>
    </row>
    <row r="362" spans="15:107" customFormat="1" x14ac:dyDescent="0.35">
      <c r="O362" s="76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  <c r="AS362" s="74"/>
      <c r="AT362" s="74"/>
      <c r="AU362" s="74"/>
      <c r="AV362" s="74"/>
      <c r="AW362" s="74"/>
      <c r="AX362" s="74"/>
      <c r="AY362" s="74"/>
      <c r="AZ362" s="74"/>
      <c r="BA362" s="74"/>
      <c r="BB362" s="74"/>
      <c r="BC362" s="74"/>
      <c r="BD362" s="74"/>
      <c r="BE362" s="74"/>
      <c r="BF362" s="74"/>
      <c r="BG362" s="74"/>
      <c r="BH362" s="74"/>
      <c r="BI362" s="74"/>
      <c r="BJ362" s="74"/>
      <c r="BK362" s="74"/>
      <c r="BL362" s="74"/>
      <c r="BM362" s="74"/>
      <c r="BN362" s="74"/>
      <c r="BO362" s="74"/>
      <c r="BP362" s="74"/>
      <c r="BQ362" s="74"/>
      <c r="BR362" s="74"/>
      <c r="BS362" s="74"/>
      <c r="BT362" s="74"/>
      <c r="BU362" s="74"/>
      <c r="BV362" s="74"/>
      <c r="BW362" s="74"/>
      <c r="BX362" s="74"/>
      <c r="BY362" s="74"/>
      <c r="BZ362" s="74"/>
      <c r="CA362" s="74"/>
      <c r="CB362" s="74"/>
      <c r="CC362" s="74"/>
      <c r="CD362" s="74"/>
      <c r="CE362" s="74"/>
      <c r="CF362" s="74"/>
      <c r="CG362" s="74"/>
      <c r="CH362" s="74"/>
      <c r="CI362" s="74"/>
      <c r="CJ362" s="74"/>
      <c r="CK362" s="74"/>
      <c r="CL362" s="74"/>
      <c r="CM362" s="74"/>
      <c r="CN362" s="74"/>
      <c r="CO362" s="74"/>
      <c r="CP362" s="74"/>
      <c r="CQ362" s="74"/>
      <c r="CR362" s="74"/>
      <c r="CS362" s="74"/>
      <c r="CT362" s="74"/>
      <c r="CU362" s="74"/>
      <c r="CV362" s="74"/>
      <c r="CW362" s="74"/>
      <c r="CX362" s="74"/>
      <c r="CY362" s="74"/>
      <c r="CZ362" s="74"/>
      <c r="DA362" s="74"/>
      <c r="DB362" s="74"/>
      <c r="DC362" s="74"/>
    </row>
    <row r="363" spans="15:107" customFormat="1" x14ac:dyDescent="0.35">
      <c r="O363" s="76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  <c r="AS363" s="74"/>
      <c r="AT363" s="74"/>
      <c r="AU363" s="74"/>
      <c r="AV363" s="74"/>
      <c r="AW363" s="74"/>
      <c r="AX363" s="74"/>
      <c r="AY363" s="74"/>
      <c r="AZ363" s="74"/>
      <c r="BA363" s="74"/>
      <c r="BB363" s="74"/>
      <c r="BC363" s="74"/>
      <c r="BD363" s="74"/>
      <c r="BE363" s="74"/>
      <c r="BF363" s="74"/>
      <c r="BG363" s="74"/>
      <c r="BH363" s="74"/>
      <c r="BI363" s="74"/>
      <c r="BJ363" s="74"/>
      <c r="BK363" s="74"/>
      <c r="BL363" s="74"/>
      <c r="BM363" s="74"/>
      <c r="BN363" s="74"/>
      <c r="BO363" s="74"/>
      <c r="BP363" s="74"/>
      <c r="BQ363" s="74"/>
      <c r="BR363" s="74"/>
      <c r="BS363" s="74"/>
      <c r="BT363" s="74"/>
      <c r="BU363" s="74"/>
      <c r="BV363" s="74"/>
      <c r="BW363" s="74"/>
      <c r="BX363" s="74"/>
      <c r="BY363" s="74"/>
      <c r="BZ363" s="74"/>
      <c r="CA363" s="74"/>
      <c r="CB363" s="74"/>
      <c r="CC363" s="74"/>
      <c r="CD363" s="74"/>
      <c r="CE363" s="74"/>
      <c r="CF363" s="74"/>
      <c r="CG363" s="74"/>
      <c r="CH363" s="74"/>
      <c r="CI363" s="74"/>
      <c r="CJ363" s="74"/>
      <c r="CK363" s="74"/>
      <c r="CL363" s="74"/>
      <c r="CM363" s="74"/>
      <c r="CN363" s="74"/>
      <c r="CO363" s="74"/>
      <c r="CP363" s="74"/>
      <c r="CQ363" s="74"/>
      <c r="CR363" s="74"/>
      <c r="CS363" s="74"/>
      <c r="CT363" s="74"/>
      <c r="CU363" s="74"/>
      <c r="CV363" s="74"/>
      <c r="CW363" s="74"/>
      <c r="CX363" s="74"/>
      <c r="CY363" s="74"/>
      <c r="CZ363" s="74"/>
      <c r="DA363" s="74"/>
      <c r="DB363" s="74"/>
      <c r="DC363" s="74"/>
    </row>
    <row r="364" spans="15:107" customFormat="1" x14ac:dyDescent="0.35">
      <c r="O364" s="76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74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74"/>
      <c r="BE364" s="74"/>
      <c r="BF364" s="74"/>
      <c r="BG364" s="74"/>
      <c r="BH364" s="74"/>
      <c r="BI364" s="74"/>
      <c r="BJ364" s="74"/>
      <c r="BK364" s="74"/>
      <c r="BL364" s="74"/>
      <c r="BM364" s="74"/>
      <c r="BN364" s="74"/>
      <c r="BO364" s="74"/>
      <c r="BP364" s="74"/>
      <c r="BQ364" s="74"/>
      <c r="BR364" s="74"/>
      <c r="BS364" s="74"/>
      <c r="BT364" s="74"/>
      <c r="BU364" s="74"/>
      <c r="BV364" s="74"/>
      <c r="BW364" s="74"/>
      <c r="BX364" s="74"/>
      <c r="BY364" s="74"/>
      <c r="BZ364" s="74"/>
      <c r="CA364" s="74"/>
      <c r="CB364" s="74"/>
      <c r="CC364" s="74"/>
      <c r="CD364" s="74"/>
      <c r="CE364" s="74"/>
      <c r="CF364" s="74"/>
      <c r="CG364" s="74"/>
      <c r="CH364" s="74"/>
      <c r="CI364" s="74"/>
      <c r="CJ364" s="74"/>
      <c r="CK364" s="74"/>
      <c r="CL364" s="74"/>
      <c r="CM364" s="74"/>
      <c r="CN364" s="74"/>
      <c r="CO364" s="74"/>
      <c r="CP364" s="74"/>
      <c r="CQ364" s="74"/>
      <c r="CR364" s="74"/>
      <c r="CS364" s="74"/>
      <c r="CT364" s="74"/>
      <c r="CU364" s="74"/>
      <c r="CV364" s="74"/>
      <c r="CW364" s="74"/>
      <c r="CX364" s="74"/>
      <c r="CY364" s="74"/>
      <c r="CZ364" s="74"/>
      <c r="DA364" s="74"/>
      <c r="DB364" s="74"/>
      <c r="DC364" s="74"/>
    </row>
    <row r="365" spans="15:107" customFormat="1" x14ac:dyDescent="0.35">
      <c r="O365" s="76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74"/>
      <c r="AP365" s="74"/>
      <c r="AQ365" s="74"/>
      <c r="AR365" s="74"/>
      <c r="AS365" s="74"/>
      <c r="AT365" s="74"/>
      <c r="AU365" s="74"/>
      <c r="AV365" s="74"/>
      <c r="AW365" s="74"/>
      <c r="AX365" s="74"/>
      <c r="AY365" s="74"/>
      <c r="AZ365" s="74"/>
      <c r="BA365" s="74"/>
      <c r="BB365" s="74"/>
      <c r="BC365" s="74"/>
      <c r="BD365" s="74"/>
      <c r="BE365" s="74"/>
      <c r="BF365" s="74"/>
      <c r="BG365" s="74"/>
      <c r="BH365" s="74"/>
      <c r="BI365" s="74"/>
      <c r="BJ365" s="74"/>
      <c r="BK365" s="74"/>
      <c r="BL365" s="74"/>
      <c r="BM365" s="74"/>
      <c r="BN365" s="74"/>
      <c r="BO365" s="74"/>
      <c r="BP365" s="74"/>
      <c r="BQ365" s="74"/>
      <c r="BR365" s="74"/>
      <c r="BS365" s="74"/>
      <c r="BT365" s="74"/>
      <c r="BU365" s="74"/>
      <c r="BV365" s="74"/>
      <c r="BW365" s="74"/>
      <c r="BX365" s="74"/>
      <c r="BY365" s="74"/>
      <c r="BZ365" s="74"/>
      <c r="CA365" s="74"/>
      <c r="CB365" s="74"/>
      <c r="CC365" s="74"/>
      <c r="CD365" s="74"/>
      <c r="CE365" s="74"/>
      <c r="CF365" s="74"/>
      <c r="CG365" s="74"/>
      <c r="CH365" s="74"/>
      <c r="CI365" s="74"/>
      <c r="CJ365" s="74"/>
      <c r="CK365" s="74"/>
      <c r="CL365" s="74"/>
      <c r="CM365" s="74"/>
      <c r="CN365" s="74"/>
      <c r="CO365" s="74"/>
      <c r="CP365" s="74"/>
      <c r="CQ365" s="74"/>
      <c r="CR365" s="74"/>
      <c r="CS365" s="74"/>
      <c r="CT365" s="74"/>
      <c r="CU365" s="74"/>
      <c r="CV365" s="74"/>
      <c r="CW365" s="74"/>
      <c r="CX365" s="74"/>
      <c r="CY365" s="74"/>
      <c r="CZ365" s="74"/>
      <c r="DA365" s="74"/>
      <c r="DB365" s="74"/>
      <c r="DC365" s="74"/>
    </row>
    <row r="366" spans="15:107" customFormat="1" x14ac:dyDescent="0.35">
      <c r="O366" s="76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/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74"/>
      <c r="BJ366" s="74"/>
      <c r="BK366" s="74"/>
      <c r="BL366" s="74"/>
      <c r="BM366" s="74"/>
      <c r="BN366" s="74"/>
      <c r="BO366" s="74"/>
      <c r="BP366" s="74"/>
      <c r="BQ366" s="74"/>
      <c r="BR366" s="74"/>
      <c r="BS366" s="74"/>
      <c r="BT366" s="74"/>
      <c r="BU366" s="74"/>
      <c r="BV366" s="74"/>
      <c r="BW366" s="74"/>
      <c r="BX366" s="74"/>
      <c r="BY366" s="74"/>
      <c r="BZ366" s="74"/>
      <c r="CA366" s="74"/>
      <c r="CB366" s="74"/>
      <c r="CC366" s="74"/>
      <c r="CD366" s="74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/>
      <c r="CP366" s="74"/>
      <c r="CQ366" s="74"/>
      <c r="CR366" s="74"/>
      <c r="CS366" s="74"/>
      <c r="CT366" s="74"/>
      <c r="CU366" s="74"/>
      <c r="CV366" s="74"/>
      <c r="CW366" s="74"/>
      <c r="CX366" s="74"/>
      <c r="CY366" s="74"/>
      <c r="CZ366" s="74"/>
      <c r="DA366" s="74"/>
      <c r="DB366" s="74"/>
      <c r="DC366" s="74"/>
    </row>
    <row r="367" spans="15:107" customFormat="1" x14ac:dyDescent="0.35">
      <c r="O367" s="76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74"/>
      <c r="BJ367" s="74"/>
      <c r="BK367" s="74"/>
      <c r="BL367" s="74"/>
      <c r="BM367" s="74"/>
      <c r="BN367" s="74"/>
      <c r="BO367" s="74"/>
      <c r="BP367" s="74"/>
      <c r="BQ367" s="74"/>
      <c r="BR367" s="74"/>
      <c r="BS367" s="74"/>
      <c r="BT367" s="74"/>
      <c r="BU367" s="74"/>
      <c r="BV367" s="74"/>
      <c r="BW367" s="74"/>
      <c r="BX367" s="74"/>
      <c r="BY367" s="74"/>
      <c r="BZ367" s="74"/>
      <c r="CA367" s="74"/>
      <c r="CB367" s="74"/>
      <c r="CC367" s="74"/>
      <c r="CD367" s="74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74"/>
      <c r="CU367" s="74"/>
      <c r="CV367" s="74"/>
      <c r="CW367" s="74"/>
      <c r="CX367" s="74"/>
      <c r="CY367" s="74"/>
      <c r="CZ367" s="74"/>
      <c r="DA367" s="74"/>
      <c r="DB367" s="74"/>
      <c r="DC367" s="74"/>
    </row>
    <row r="368" spans="15:107" customFormat="1" x14ac:dyDescent="0.35">
      <c r="O368" s="76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74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74"/>
      <c r="BE368" s="74"/>
      <c r="BF368" s="74"/>
      <c r="BG368" s="74"/>
      <c r="BH368" s="74"/>
      <c r="BI368" s="74"/>
      <c r="BJ368" s="74"/>
      <c r="BK368" s="74"/>
      <c r="BL368" s="74"/>
      <c r="BM368" s="74"/>
      <c r="BN368" s="74"/>
      <c r="BO368" s="74"/>
      <c r="BP368" s="74"/>
      <c r="BQ368" s="74"/>
      <c r="BR368" s="74"/>
      <c r="BS368" s="74"/>
      <c r="BT368" s="74"/>
      <c r="BU368" s="74"/>
      <c r="BV368" s="74"/>
      <c r="BW368" s="74"/>
      <c r="BX368" s="74"/>
      <c r="BY368" s="74"/>
      <c r="BZ368" s="74"/>
      <c r="CA368" s="74"/>
      <c r="CB368" s="74"/>
      <c r="CC368" s="74"/>
      <c r="CD368" s="74"/>
      <c r="CE368" s="74"/>
      <c r="CF368" s="74"/>
      <c r="CG368" s="74"/>
      <c r="CH368" s="74"/>
      <c r="CI368" s="74"/>
      <c r="CJ368" s="74"/>
      <c r="CK368" s="74"/>
      <c r="CL368" s="74"/>
      <c r="CM368" s="74"/>
      <c r="CN368" s="74"/>
      <c r="CO368" s="74"/>
      <c r="CP368" s="74"/>
      <c r="CQ368" s="74"/>
      <c r="CR368" s="74"/>
      <c r="CS368" s="74"/>
      <c r="CT368" s="74"/>
      <c r="CU368" s="74"/>
      <c r="CV368" s="74"/>
      <c r="CW368" s="74"/>
      <c r="CX368" s="74"/>
      <c r="CY368" s="74"/>
      <c r="CZ368" s="74"/>
      <c r="DA368" s="74"/>
      <c r="DB368" s="74"/>
      <c r="DC368" s="74"/>
    </row>
    <row r="369" spans="15:107" customFormat="1" x14ac:dyDescent="0.35">
      <c r="O369" s="76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  <c r="AS369" s="74"/>
      <c r="AT369" s="74"/>
      <c r="AU369" s="74"/>
      <c r="AV369" s="74"/>
      <c r="AW369" s="74"/>
      <c r="AX369" s="74"/>
      <c r="AY369" s="74"/>
      <c r="AZ369" s="74"/>
      <c r="BA369" s="74"/>
      <c r="BB369" s="74"/>
      <c r="BC369" s="74"/>
      <c r="BD369" s="74"/>
      <c r="BE369" s="74"/>
      <c r="BF369" s="74"/>
      <c r="BG369" s="74"/>
      <c r="BH369" s="74"/>
      <c r="BI369" s="74"/>
      <c r="BJ369" s="74"/>
      <c r="BK369" s="74"/>
      <c r="BL369" s="74"/>
      <c r="BM369" s="74"/>
      <c r="BN369" s="74"/>
      <c r="BO369" s="74"/>
      <c r="BP369" s="74"/>
      <c r="BQ369" s="74"/>
      <c r="BR369" s="74"/>
      <c r="BS369" s="74"/>
      <c r="BT369" s="74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74"/>
      <c r="CU369" s="74"/>
      <c r="CV369" s="74"/>
      <c r="CW369" s="74"/>
      <c r="CX369" s="74"/>
      <c r="CY369" s="74"/>
      <c r="CZ369" s="74"/>
      <c r="DA369" s="74"/>
      <c r="DB369" s="74"/>
      <c r="DC369" s="74"/>
    </row>
    <row r="370" spans="15:107" customFormat="1" x14ac:dyDescent="0.35">
      <c r="O370" s="76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74"/>
      <c r="CU370" s="74"/>
      <c r="CV370" s="74"/>
      <c r="CW370" s="74"/>
      <c r="CX370" s="74"/>
      <c r="CY370" s="74"/>
      <c r="CZ370" s="74"/>
      <c r="DA370" s="74"/>
      <c r="DB370" s="74"/>
      <c r="DC370" s="74"/>
    </row>
    <row r="371" spans="15:107" customFormat="1" x14ac:dyDescent="0.35">
      <c r="O371" s="76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74"/>
      <c r="CU371" s="74"/>
      <c r="CV371" s="74"/>
      <c r="CW371" s="74"/>
      <c r="CX371" s="74"/>
      <c r="CY371" s="74"/>
      <c r="CZ371" s="74"/>
      <c r="DA371" s="74"/>
      <c r="DB371" s="74"/>
      <c r="DC371" s="74"/>
    </row>
    <row r="372" spans="15:107" customFormat="1" x14ac:dyDescent="0.35">
      <c r="O372" s="76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74"/>
      <c r="CU372" s="74"/>
      <c r="CV372" s="74"/>
      <c r="CW372" s="74"/>
      <c r="CX372" s="74"/>
      <c r="CY372" s="74"/>
      <c r="CZ372" s="74"/>
      <c r="DA372" s="74"/>
      <c r="DB372" s="74"/>
      <c r="DC372" s="74"/>
    </row>
    <row r="373" spans="15:107" customFormat="1" x14ac:dyDescent="0.35">
      <c r="O373" s="76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74"/>
      <c r="CU373" s="74"/>
      <c r="CV373" s="74"/>
      <c r="CW373" s="74"/>
      <c r="CX373" s="74"/>
      <c r="CY373" s="74"/>
      <c r="CZ373" s="74"/>
      <c r="DA373" s="74"/>
      <c r="DB373" s="74"/>
      <c r="DC373" s="74"/>
    </row>
    <row r="374" spans="15:107" customFormat="1" x14ac:dyDescent="0.35">
      <c r="O374" s="76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74"/>
      <c r="CU374" s="74"/>
      <c r="CV374" s="74"/>
      <c r="CW374" s="74"/>
      <c r="CX374" s="74"/>
      <c r="CY374" s="74"/>
      <c r="CZ374" s="74"/>
      <c r="DA374" s="74"/>
      <c r="DB374" s="74"/>
      <c r="DC374" s="74"/>
    </row>
    <row r="375" spans="15:107" customFormat="1" x14ac:dyDescent="0.35">
      <c r="O375" s="76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74"/>
      <c r="CU375" s="74"/>
      <c r="CV375" s="74"/>
      <c r="CW375" s="74"/>
      <c r="CX375" s="74"/>
      <c r="CY375" s="74"/>
      <c r="CZ375" s="74"/>
      <c r="DA375" s="74"/>
      <c r="DB375" s="74"/>
      <c r="DC375" s="74"/>
    </row>
    <row r="376" spans="15:107" customFormat="1" x14ac:dyDescent="0.35">
      <c r="O376" s="76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74"/>
      <c r="CU376" s="74"/>
      <c r="CV376" s="74"/>
      <c r="CW376" s="74"/>
      <c r="CX376" s="74"/>
      <c r="CY376" s="74"/>
      <c r="CZ376" s="74"/>
      <c r="DA376" s="74"/>
      <c r="DB376" s="74"/>
      <c r="DC376" s="74"/>
    </row>
    <row r="377" spans="15:107" customFormat="1" x14ac:dyDescent="0.35">
      <c r="O377" s="76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74"/>
      <c r="CU377" s="74"/>
      <c r="CV377" s="74"/>
      <c r="CW377" s="74"/>
      <c r="CX377" s="74"/>
      <c r="CY377" s="74"/>
      <c r="CZ377" s="74"/>
      <c r="DA377" s="74"/>
      <c r="DB377" s="74"/>
      <c r="DC377" s="74"/>
    </row>
    <row r="378" spans="15:107" customFormat="1" x14ac:dyDescent="0.35">
      <c r="O378" s="76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74"/>
      <c r="CR378" s="74"/>
      <c r="CS378" s="74"/>
      <c r="CT378" s="74"/>
      <c r="CU378" s="74"/>
      <c r="CV378" s="74"/>
      <c r="CW378" s="74"/>
      <c r="CX378" s="74"/>
      <c r="CY378" s="74"/>
      <c r="CZ378" s="74"/>
      <c r="DA378" s="74"/>
      <c r="DB378" s="74"/>
      <c r="DC378" s="74"/>
    </row>
    <row r="379" spans="15:107" customFormat="1" x14ac:dyDescent="0.35">
      <c r="O379" s="76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  <c r="CD379" s="74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74"/>
      <c r="CU379" s="74"/>
      <c r="CV379" s="74"/>
      <c r="CW379" s="74"/>
      <c r="CX379" s="74"/>
      <c r="CY379" s="74"/>
      <c r="CZ379" s="74"/>
      <c r="DA379" s="74"/>
      <c r="DB379" s="74"/>
      <c r="DC379" s="74"/>
    </row>
    <row r="380" spans="15:107" customFormat="1" x14ac:dyDescent="0.35">
      <c r="O380" s="76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/>
      <c r="AT380" s="74"/>
      <c r="AU380" s="74"/>
      <c r="AV380" s="74"/>
      <c r="AW380" s="74"/>
      <c r="AX380" s="74"/>
      <c r="AY380" s="74"/>
      <c r="AZ380" s="74"/>
      <c r="BA380" s="74"/>
      <c r="BB380" s="74"/>
      <c r="BC380" s="74"/>
      <c r="BD380" s="74"/>
      <c r="BE380" s="74"/>
      <c r="BF380" s="74"/>
      <c r="BG380" s="74"/>
      <c r="BH380" s="74"/>
      <c r="BI380" s="74"/>
      <c r="BJ380" s="74"/>
      <c r="BK380" s="74"/>
      <c r="BL380" s="74"/>
      <c r="BM380" s="74"/>
      <c r="BN380" s="74"/>
      <c r="BO380" s="74"/>
      <c r="BP380" s="74"/>
      <c r="BQ380" s="74"/>
      <c r="BR380" s="74"/>
      <c r="BS380" s="74"/>
      <c r="BT380" s="74"/>
      <c r="BU380" s="74"/>
      <c r="BV380" s="74"/>
      <c r="BW380" s="74"/>
      <c r="BX380" s="74"/>
      <c r="BY380" s="74"/>
      <c r="BZ380" s="74"/>
      <c r="CA380" s="74"/>
      <c r="CB380" s="74"/>
      <c r="CC380" s="74"/>
      <c r="CD380" s="74"/>
      <c r="CE380" s="74"/>
      <c r="CF380" s="74"/>
      <c r="CG380" s="74"/>
      <c r="CH380" s="74"/>
      <c r="CI380" s="74"/>
      <c r="CJ380" s="74"/>
      <c r="CK380" s="74"/>
      <c r="CL380" s="74"/>
      <c r="CM380" s="74"/>
      <c r="CN380" s="74"/>
      <c r="CO380" s="74"/>
      <c r="CP380" s="74"/>
      <c r="CQ380" s="74"/>
      <c r="CR380" s="74"/>
      <c r="CS380" s="74"/>
      <c r="CT380" s="74"/>
      <c r="CU380" s="74"/>
      <c r="CV380" s="74"/>
      <c r="CW380" s="74"/>
      <c r="CX380" s="74"/>
      <c r="CY380" s="74"/>
      <c r="CZ380" s="74"/>
      <c r="DA380" s="74"/>
      <c r="DB380" s="74"/>
      <c r="DC380" s="74"/>
    </row>
    <row r="381" spans="15:107" customFormat="1" x14ac:dyDescent="0.35">
      <c r="O381" s="76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74"/>
      <c r="AT381" s="74"/>
      <c r="AU381" s="74"/>
      <c r="AV381" s="74"/>
      <c r="AW381" s="74"/>
      <c r="AX381" s="74"/>
      <c r="AY381" s="74"/>
      <c r="AZ381" s="74"/>
      <c r="BA381" s="74"/>
      <c r="BB381" s="74"/>
      <c r="BC381" s="74"/>
      <c r="BD381" s="74"/>
      <c r="BE381" s="74"/>
      <c r="BF381" s="74"/>
      <c r="BG381" s="74"/>
      <c r="BH381" s="74"/>
      <c r="BI381" s="74"/>
      <c r="BJ381" s="74"/>
      <c r="BK381" s="74"/>
      <c r="BL381" s="74"/>
      <c r="BM381" s="74"/>
      <c r="BN381" s="74"/>
      <c r="BO381" s="74"/>
      <c r="BP381" s="74"/>
      <c r="BQ381" s="74"/>
      <c r="BR381" s="74"/>
      <c r="BS381" s="74"/>
      <c r="BT381" s="74"/>
      <c r="BU381" s="74"/>
      <c r="BV381" s="74"/>
      <c r="BW381" s="74"/>
      <c r="BX381" s="74"/>
      <c r="BY381" s="74"/>
      <c r="BZ381" s="74"/>
      <c r="CA381" s="74"/>
      <c r="CB381" s="74"/>
      <c r="CC381" s="74"/>
      <c r="CD381" s="74"/>
      <c r="CE381" s="74"/>
      <c r="CF381" s="74"/>
      <c r="CG381" s="74"/>
      <c r="CH381" s="74"/>
      <c r="CI381" s="74"/>
      <c r="CJ381" s="74"/>
      <c r="CK381" s="74"/>
      <c r="CL381" s="74"/>
      <c r="CM381" s="74"/>
      <c r="CN381" s="74"/>
      <c r="CO381" s="74"/>
      <c r="CP381" s="74"/>
      <c r="CQ381" s="74"/>
      <c r="CR381" s="74"/>
      <c r="CS381" s="74"/>
      <c r="CT381" s="74"/>
      <c r="CU381" s="74"/>
      <c r="CV381" s="74"/>
      <c r="CW381" s="74"/>
      <c r="CX381" s="74"/>
      <c r="CY381" s="74"/>
      <c r="CZ381" s="74"/>
      <c r="DA381" s="74"/>
      <c r="DB381" s="74"/>
      <c r="DC381" s="74"/>
    </row>
    <row r="382" spans="15:107" customFormat="1" x14ac:dyDescent="0.35">
      <c r="O382" s="76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74"/>
      <c r="AT382" s="74"/>
      <c r="AU382" s="74"/>
      <c r="AV382" s="74"/>
      <c r="AW382" s="74"/>
      <c r="AX382" s="74"/>
      <c r="AY382" s="74"/>
      <c r="AZ382" s="74"/>
      <c r="BA382" s="74"/>
      <c r="BB382" s="74"/>
      <c r="BC382" s="74"/>
      <c r="BD382" s="74"/>
      <c r="BE382" s="74"/>
      <c r="BF382" s="74"/>
      <c r="BG382" s="74"/>
      <c r="BH382" s="74"/>
      <c r="BI382" s="74"/>
      <c r="BJ382" s="74"/>
      <c r="BK382" s="74"/>
      <c r="BL382" s="74"/>
      <c r="BM382" s="74"/>
      <c r="BN382" s="74"/>
      <c r="BO382" s="74"/>
      <c r="BP382" s="74"/>
      <c r="BQ382" s="74"/>
      <c r="BR382" s="74"/>
      <c r="BS382" s="74"/>
      <c r="BT382" s="74"/>
      <c r="BU382" s="74"/>
      <c r="BV382" s="74"/>
      <c r="BW382" s="74"/>
      <c r="BX382" s="74"/>
      <c r="BY382" s="74"/>
      <c r="BZ382" s="74"/>
      <c r="CA382" s="74"/>
      <c r="CB382" s="74"/>
      <c r="CC382" s="74"/>
      <c r="CD382" s="74"/>
      <c r="CE382" s="74"/>
      <c r="CF382" s="74"/>
      <c r="CG382" s="74"/>
      <c r="CH382" s="74"/>
      <c r="CI382" s="74"/>
      <c r="CJ382" s="74"/>
      <c r="CK382" s="74"/>
      <c r="CL382" s="74"/>
      <c r="CM382" s="74"/>
      <c r="CN382" s="74"/>
      <c r="CO382" s="74"/>
      <c r="CP382" s="74"/>
      <c r="CQ382" s="74"/>
      <c r="CR382" s="74"/>
      <c r="CS382" s="74"/>
      <c r="CT382" s="74"/>
      <c r="CU382" s="74"/>
      <c r="CV382" s="74"/>
      <c r="CW382" s="74"/>
      <c r="CX382" s="74"/>
      <c r="CY382" s="74"/>
      <c r="CZ382" s="74"/>
      <c r="DA382" s="74"/>
      <c r="DB382" s="74"/>
      <c r="DC382" s="74"/>
    </row>
    <row r="383" spans="15:107" customFormat="1" x14ac:dyDescent="0.35">
      <c r="O383" s="76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74"/>
      <c r="BM383" s="74"/>
      <c r="BN383" s="74"/>
      <c r="BO383" s="74"/>
      <c r="BP383" s="74"/>
      <c r="BQ383" s="74"/>
      <c r="BR383" s="74"/>
      <c r="BS383" s="74"/>
      <c r="BT383" s="74"/>
      <c r="BU383" s="74"/>
      <c r="BV383" s="74"/>
      <c r="BW383" s="74"/>
      <c r="BX383" s="74"/>
      <c r="BY383" s="74"/>
      <c r="BZ383" s="74"/>
      <c r="CA383" s="74"/>
      <c r="CB383" s="74"/>
      <c r="CC383" s="74"/>
      <c r="CD383" s="74"/>
      <c r="CE383" s="74"/>
      <c r="CF383" s="74"/>
      <c r="CG383" s="74"/>
      <c r="CH383" s="74"/>
      <c r="CI383" s="74"/>
      <c r="CJ383" s="74"/>
      <c r="CK383" s="74"/>
      <c r="CL383" s="74"/>
      <c r="CM383" s="74"/>
      <c r="CN383" s="74"/>
      <c r="CO383" s="74"/>
      <c r="CP383" s="74"/>
      <c r="CQ383" s="74"/>
      <c r="CR383" s="74"/>
      <c r="CS383" s="74"/>
      <c r="CT383" s="74"/>
      <c r="CU383" s="74"/>
      <c r="CV383" s="74"/>
      <c r="CW383" s="74"/>
      <c r="CX383" s="74"/>
      <c r="CY383" s="74"/>
      <c r="CZ383" s="74"/>
      <c r="DA383" s="74"/>
      <c r="DB383" s="74"/>
      <c r="DC383" s="74"/>
    </row>
    <row r="384" spans="15:107" customFormat="1" x14ac:dyDescent="0.35">
      <c r="O384" s="76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  <c r="AZ384" s="74"/>
      <c r="BA384" s="74"/>
      <c r="BB384" s="74"/>
      <c r="BC384" s="74"/>
      <c r="BD384" s="74"/>
      <c r="BE384" s="74"/>
      <c r="BF384" s="74"/>
      <c r="BG384" s="74"/>
      <c r="BH384" s="74"/>
      <c r="BI384" s="74"/>
      <c r="BJ384" s="74"/>
      <c r="BK384" s="74"/>
      <c r="BL384" s="74"/>
      <c r="BM384" s="74"/>
      <c r="BN384" s="74"/>
      <c r="BO384" s="74"/>
      <c r="BP384" s="74"/>
      <c r="BQ384" s="74"/>
      <c r="BR384" s="74"/>
      <c r="BS384" s="74"/>
      <c r="BT384" s="74"/>
      <c r="BU384" s="74"/>
      <c r="BV384" s="74"/>
      <c r="BW384" s="74"/>
      <c r="BX384" s="74"/>
      <c r="BY384" s="74"/>
      <c r="BZ384" s="74"/>
      <c r="CA384" s="74"/>
      <c r="CB384" s="74"/>
      <c r="CC384" s="74"/>
      <c r="CD384" s="74"/>
      <c r="CE384" s="74"/>
      <c r="CF384" s="74"/>
      <c r="CG384" s="74"/>
      <c r="CH384" s="74"/>
      <c r="CI384" s="74"/>
      <c r="CJ384" s="74"/>
      <c r="CK384" s="74"/>
      <c r="CL384" s="74"/>
      <c r="CM384" s="74"/>
      <c r="CN384" s="74"/>
      <c r="CO384" s="74"/>
      <c r="CP384" s="74"/>
      <c r="CQ384" s="74"/>
      <c r="CR384" s="74"/>
      <c r="CS384" s="74"/>
      <c r="CT384" s="74"/>
      <c r="CU384" s="74"/>
      <c r="CV384" s="74"/>
      <c r="CW384" s="74"/>
      <c r="CX384" s="74"/>
      <c r="CY384" s="74"/>
      <c r="CZ384" s="74"/>
      <c r="DA384" s="74"/>
      <c r="DB384" s="74"/>
      <c r="DC384" s="74"/>
    </row>
    <row r="385" spans="15:107" customFormat="1" x14ac:dyDescent="0.35">
      <c r="O385" s="76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  <c r="BA385" s="74"/>
      <c r="BB385" s="74"/>
      <c r="BC385" s="74"/>
      <c r="BD385" s="74"/>
      <c r="BE385" s="74"/>
      <c r="BF385" s="74"/>
      <c r="BG385" s="74"/>
      <c r="BH385" s="74"/>
      <c r="BI385" s="74"/>
      <c r="BJ385" s="74"/>
      <c r="BK385" s="74"/>
      <c r="BL385" s="74"/>
      <c r="BM385" s="74"/>
      <c r="BN385" s="74"/>
      <c r="BO385" s="74"/>
      <c r="BP385" s="74"/>
      <c r="BQ385" s="74"/>
      <c r="BR385" s="74"/>
      <c r="BS385" s="74"/>
      <c r="BT385" s="74"/>
      <c r="BU385" s="74"/>
      <c r="BV385" s="74"/>
      <c r="BW385" s="74"/>
      <c r="BX385" s="74"/>
      <c r="BY385" s="74"/>
      <c r="BZ385" s="74"/>
      <c r="CA385" s="74"/>
      <c r="CB385" s="74"/>
      <c r="CC385" s="74"/>
      <c r="CD385" s="74"/>
      <c r="CE385" s="74"/>
      <c r="CF385" s="74"/>
      <c r="CG385" s="74"/>
      <c r="CH385" s="74"/>
      <c r="CI385" s="74"/>
      <c r="CJ385" s="74"/>
      <c r="CK385" s="74"/>
      <c r="CL385" s="74"/>
      <c r="CM385" s="74"/>
      <c r="CN385" s="74"/>
      <c r="CO385" s="74"/>
      <c r="CP385" s="74"/>
      <c r="CQ385" s="74"/>
      <c r="CR385" s="74"/>
      <c r="CS385" s="74"/>
      <c r="CT385" s="74"/>
      <c r="CU385" s="74"/>
      <c r="CV385" s="74"/>
      <c r="CW385" s="74"/>
      <c r="CX385" s="74"/>
      <c r="CY385" s="74"/>
      <c r="CZ385" s="74"/>
      <c r="DA385" s="74"/>
      <c r="DB385" s="74"/>
      <c r="DC385" s="74"/>
    </row>
    <row r="386" spans="15:107" customFormat="1" x14ac:dyDescent="0.35">
      <c r="O386" s="76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74"/>
      <c r="BM386" s="74"/>
      <c r="BN386" s="74"/>
      <c r="BO386" s="74"/>
      <c r="BP386" s="74"/>
      <c r="BQ386" s="74"/>
      <c r="BR386" s="74"/>
      <c r="BS386" s="74"/>
      <c r="BT386" s="74"/>
      <c r="BU386" s="74"/>
      <c r="BV386" s="74"/>
      <c r="BW386" s="74"/>
      <c r="BX386" s="74"/>
      <c r="BY386" s="74"/>
      <c r="BZ386" s="74"/>
      <c r="CA386" s="74"/>
      <c r="CB386" s="74"/>
      <c r="CC386" s="74"/>
      <c r="CD386" s="74"/>
      <c r="CE386" s="74"/>
      <c r="CF386" s="74"/>
      <c r="CG386" s="74"/>
      <c r="CH386" s="74"/>
      <c r="CI386" s="74"/>
      <c r="CJ386" s="74"/>
      <c r="CK386" s="74"/>
      <c r="CL386" s="74"/>
      <c r="CM386" s="74"/>
      <c r="CN386" s="74"/>
      <c r="CO386" s="74"/>
      <c r="CP386" s="74"/>
      <c r="CQ386" s="74"/>
      <c r="CR386" s="74"/>
      <c r="CS386" s="74"/>
      <c r="CT386" s="74"/>
      <c r="CU386" s="74"/>
      <c r="CV386" s="74"/>
      <c r="CW386" s="74"/>
      <c r="CX386" s="74"/>
      <c r="CY386" s="74"/>
      <c r="CZ386" s="74"/>
      <c r="DA386" s="74"/>
      <c r="DB386" s="74"/>
      <c r="DC386" s="74"/>
    </row>
    <row r="387" spans="15:107" customFormat="1" x14ac:dyDescent="0.35">
      <c r="O387" s="76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74"/>
      <c r="AT387" s="74"/>
      <c r="AU387" s="74"/>
      <c r="AV387" s="74"/>
      <c r="AW387" s="74"/>
      <c r="AX387" s="74"/>
      <c r="AY387" s="74"/>
      <c r="AZ387" s="74"/>
      <c r="BA387" s="74"/>
      <c r="BB387" s="74"/>
      <c r="BC387" s="74"/>
      <c r="BD387" s="74"/>
      <c r="BE387" s="74"/>
      <c r="BF387" s="74"/>
      <c r="BG387" s="74"/>
      <c r="BH387" s="74"/>
      <c r="BI387" s="74"/>
      <c r="BJ387" s="74"/>
      <c r="BK387" s="74"/>
      <c r="BL387" s="74"/>
      <c r="BM387" s="74"/>
      <c r="BN387" s="74"/>
      <c r="BO387" s="74"/>
      <c r="BP387" s="74"/>
      <c r="BQ387" s="74"/>
      <c r="BR387" s="74"/>
      <c r="BS387" s="74"/>
      <c r="BT387" s="74"/>
      <c r="BU387" s="74"/>
      <c r="BV387" s="74"/>
      <c r="BW387" s="74"/>
      <c r="BX387" s="74"/>
      <c r="BY387" s="74"/>
      <c r="BZ387" s="74"/>
      <c r="CA387" s="74"/>
      <c r="CB387" s="74"/>
      <c r="CC387" s="74"/>
      <c r="CD387" s="74"/>
      <c r="CE387" s="74"/>
      <c r="CF387" s="74"/>
      <c r="CG387" s="74"/>
      <c r="CH387" s="74"/>
      <c r="CI387" s="74"/>
      <c r="CJ387" s="74"/>
      <c r="CK387" s="74"/>
      <c r="CL387" s="74"/>
      <c r="CM387" s="74"/>
      <c r="CN387" s="74"/>
      <c r="CO387" s="74"/>
      <c r="CP387" s="74"/>
      <c r="CQ387" s="74"/>
      <c r="CR387" s="74"/>
      <c r="CS387" s="74"/>
      <c r="CT387" s="74"/>
      <c r="CU387" s="74"/>
      <c r="CV387" s="74"/>
      <c r="CW387" s="74"/>
      <c r="CX387" s="74"/>
      <c r="CY387" s="74"/>
      <c r="CZ387" s="74"/>
      <c r="DA387" s="74"/>
      <c r="DB387" s="74"/>
      <c r="DC387" s="74"/>
    </row>
    <row r="388" spans="15:107" customFormat="1" x14ac:dyDescent="0.35">
      <c r="O388" s="76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74"/>
      <c r="AT388" s="74"/>
      <c r="AU388" s="74"/>
      <c r="AV388" s="74"/>
      <c r="AW388" s="74"/>
      <c r="AX388" s="74"/>
      <c r="AY388" s="74"/>
      <c r="AZ388" s="74"/>
      <c r="BA388" s="74"/>
      <c r="BB388" s="74"/>
      <c r="BC388" s="74"/>
      <c r="BD388" s="74"/>
      <c r="BE388" s="74"/>
      <c r="BF388" s="74"/>
      <c r="BG388" s="74"/>
      <c r="BH388" s="74"/>
      <c r="BI388" s="74"/>
      <c r="BJ388" s="74"/>
      <c r="BK388" s="74"/>
      <c r="BL388" s="74"/>
      <c r="BM388" s="74"/>
      <c r="BN388" s="74"/>
      <c r="BO388" s="74"/>
      <c r="BP388" s="74"/>
      <c r="BQ388" s="74"/>
      <c r="BR388" s="74"/>
      <c r="BS388" s="74"/>
      <c r="BT388" s="74"/>
      <c r="BU388" s="74"/>
      <c r="BV388" s="74"/>
      <c r="BW388" s="74"/>
      <c r="BX388" s="74"/>
      <c r="BY388" s="74"/>
      <c r="BZ388" s="74"/>
      <c r="CA388" s="74"/>
      <c r="CB388" s="74"/>
      <c r="CC388" s="74"/>
      <c r="CD388" s="74"/>
      <c r="CE388" s="74"/>
      <c r="CF388" s="74"/>
      <c r="CG388" s="74"/>
      <c r="CH388" s="74"/>
      <c r="CI388" s="74"/>
      <c r="CJ388" s="74"/>
      <c r="CK388" s="74"/>
      <c r="CL388" s="74"/>
      <c r="CM388" s="74"/>
      <c r="CN388" s="74"/>
      <c r="CO388" s="74"/>
      <c r="CP388" s="74"/>
      <c r="CQ388" s="74"/>
      <c r="CR388" s="74"/>
      <c r="CS388" s="74"/>
      <c r="CT388" s="74"/>
      <c r="CU388" s="74"/>
      <c r="CV388" s="74"/>
      <c r="CW388" s="74"/>
      <c r="CX388" s="74"/>
      <c r="CY388" s="74"/>
      <c r="CZ388" s="74"/>
      <c r="DA388" s="74"/>
      <c r="DB388" s="74"/>
      <c r="DC388" s="74"/>
    </row>
    <row r="389" spans="15:107" customFormat="1" x14ac:dyDescent="0.35">
      <c r="O389" s="76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74"/>
      <c r="AT389" s="74"/>
      <c r="AU389" s="74"/>
      <c r="AV389" s="74"/>
      <c r="AW389" s="74"/>
      <c r="AX389" s="74"/>
      <c r="AY389" s="74"/>
      <c r="AZ389" s="74"/>
      <c r="BA389" s="74"/>
      <c r="BB389" s="74"/>
      <c r="BC389" s="74"/>
      <c r="BD389" s="74"/>
      <c r="BE389" s="74"/>
      <c r="BF389" s="74"/>
      <c r="BG389" s="74"/>
      <c r="BH389" s="74"/>
      <c r="BI389" s="74"/>
      <c r="BJ389" s="74"/>
      <c r="BK389" s="74"/>
      <c r="BL389" s="74"/>
      <c r="BM389" s="74"/>
      <c r="BN389" s="74"/>
      <c r="BO389" s="74"/>
      <c r="BP389" s="74"/>
      <c r="BQ389" s="74"/>
      <c r="BR389" s="74"/>
      <c r="BS389" s="74"/>
      <c r="BT389" s="74"/>
      <c r="BU389" s="74"/>
      <c r="BV389" s="74"/>
      <c r="BW389" s="74"/>
      <c r="BX389" s="74"/>
      <c r="BY389" s="74"/>
      <c r="BZ389" s="74"/>
      <c r="CA389" s="74"/>
      <c r="CB389" s="74"/>
      <c r="CC389" s="74"/>
      <c r="CD389" s="74"/>
      <c r="CE389" s="74"/>
      <c r="CF389" s="74"/>
      <c r="CG389" s="74"/>
      <c r="CH389" s="74"/>
      <c r="CI389" s="74"/>
      <c r="CJ389" s="74"/>
      <c r="CK389" s="74"/>
      <c r="CL389" s="74"/>
      <c r="CM389" s="74"/>
      <c r="CN389" s="74"/>
      <c r="CO389" s="74"/>
      <c r="CP389" s="74"/>
      <c r="CQ389" s="74"/>
      <c r="CR389" s="74"/>
      <c r="CS389" s="74"/>
      <c r="CT389" s="74"/>
      <c r="CU389" s="74"/>
      <c r="CV389" s="74"/>
      <c r="CW389" s="74"/>
      <c r="CX389" s="74"/>
      <c r="CY389" s="74"/>
      <c r="CZ389" s="74"/>
      <c r="DA389" s="74"/>
      <c r="DB389" s="74"/>
      <c r="DC389" s="74"/>
    </row>
    <row r="390" spans="15:107" customFormat="1" x14ac:dyDescent="0.35">
      <c r="O390" s="76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  <c r="AZ390" s="74"/>
      <c r="BA390" s="74"/>
      <c r="BB390" s="74"/>
      <c r="BC390" s="74"/>
      <c r="BD390" s="74"/>
      <c r="BE390" s="74"/>
      <c r="BF390" s="74"/>
      <c r="BG390" s="74"/>
      <c r="BH390" s="74"/>
      <c r="BI390" s="74"/>
      <c r="BJ390" s="74"/>
      <c r="BK390" s="74"/>
      <c r="BL390" s="74"/>
      <c r="BM390" s="74"/>
      <c r="BN390" s="74"/>
      <c r="BO390" s="74"/>
      <c r="BP390" s="74"/>
      <c r="BQ390" s="74"/>
      <c r="BR390" s="74"/>
      <c r="BS390" s="74"/>
      <c r="BT390" s="74"/>
      <c r="BU390" s="74"/>
      <c r="BV390" s="74"/>
      <c r="BW390" s="74"/>
      <c r="BX390" s="74"/>
      <c r="BY390" s="74"/>
      <c r="BZ390" s="74"/>
      <c r="CA390" s="74"/>
      <c r="CB390" s="74"/>
      <c r="CC390" s="74"/>
      <c r="CD390" s="74"/>
      <c r="CE390" s="74"/>
      <c r="CF390" s="74"/>
      <c r="CG390" s="74"/>
      <c r="CH390" s="74"/>
      <c r="CI390" s="74"/>
      <c r="CJ390" s="74"/>
      <c r="CK390" s="74"/>
      <c r="CL390" s="74"/>
      <c r="CM390" s="74"/>
      <c r="CN390" s="74"/>
      <c r="CO390" s="74"/>
      <c r="CP390" s="74"/>
      <c r="CQ390" s="74"/>
      <c r="CR390" s="74"/>
      <c r="CS390" s="74"/>
      <c r="CT390" s="74"/>
      <c r="CU390" s="74"/>
      <c r="CV390" s="74"/>
      <c r="CW390" s="74"/>
      <c r="CX390" s="74"/>
      <c r="CY390" s="74"/>
      <c r="CZ390" s="74"/>
      <c r="DA390" s="74"/>
      <c r="DB390" s="74"/>
      <c r="DC390" s="74"/>
    </row>
    <row r="391" spans="15:107" customFormat="1" x14ac:dyDescent="0.35">
      <c r="O391" s="76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  <c r="AZ391" s="74"/>
      <c r="BA391" s="74"/>
      <c r="BB391" s="74"/>
      <c r="BC391" s="74"/>
      <c r="BD391" s="74"/>
      <c r="BE391" s="74"/>
      <c r="BF391" s="74"/>
      <c r="BG391" s="74"/>
      <c r="BH391" s="74"/>
      <c r="BI391" s="74"/>
      <c r="BJ391" s="74"/>
      <c r="BK391" s="74"/>
      <c r="BL391" s="74"/>
      <c r="BM391" s="74"/>
      <c r="BN391" s="74"/>
      <c r="BO391" s="74"/>
      <c r="BP391" s="74"/>
      <c r="BQ391" s="74"/>
      <c r="BR391" s="74"/>
      <c r="BS391" s="74"/>
      <c r="BT391" s="74"/>
      <c r="BU391" s="74"/>
      <c r="BV391" s="74"/>
      <c r="BW391" s="74"/>
      <c r="BX391" s="74"/>
      <c r="BY391" s="74"/>
      <c r="BZ391" s="74"/>
      <c r="CA391" s="74"/>
      <c r="CB391" s="74"/>
      <c r="CC391" s="74"/>
      <c r="CD391" s="74"/>
      <c r="CE391" s="74"/>
      <c r="CF391" s="74"/>
      <c r="CG391" s="74"/>
      <c r="CH391" s="74"/>
      <c r="CI391" s="74"/>
      <c r="CJ391" s="74"/>
      <c r="CK391" s="74"/>
      <c r="CL391" s="74"/>
      <c r="CM391" s="74"/>
      <c r="CN391" s="74"/>
      <c r="CO391" s="74"/>
      <c r="CP391" s="74"/>
      <c r="CQ391" s="74"/>
      <c r="CR391" s="74"/>
      <c r="CS391" s="74"/>
      <c r="CT391" s="74"/>
      <c r="CU391" s="74"/>
      <c r="CV391" s="74"/>
      <c r="CW391" s="74"/>
      <c r="CX391" s="74"/>
      <c r="CY391" s="74"/>
      <c r="CZ391" s="74"/>
      <c r="DA391" s="74"/>
      <c r="DB391" s="74"/>
      <c r="DC391" s="74"/>
    </row>
    <row r="392" spans="15:107" customFormat="1" x14ac:dyDescent="0.35">
      <c r="O392" s="76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  <c r="AX392" s="74"/>
      <c r="AY392" s="74"/>
      <c r="AZ392" s="74"/>
      <c r="BA392" s="74"/>
      <c r="BB392" s="74"/>
      <c r="BC392" s="74"/>
      <c r="BD392" s="74"/>
      <c r="BE392" s="74"/>
      <c r="BF392" s="74"/>
      <c r="BG392" s="74"/>
      <c r="BH392" s="74"/>
      <c r="BI392" s="74"/>
      <c r="BJ392" s="74"/>
      <c r="BK392" s="74"/>
      <c r="BL392" s="74"/>
      <c r="BM392" s="74"/>
      <c r="BN392" s="74"/>
      <c r="BO392" s="74"/>
      <c r="BP392" s="74"/>
      <c r="BQ392" s="74"/>
      <c r="BR392" s="74"/>
      <c r="BS392" s="74"/>
      <c r="BT392" s="74"/>
      <c r="BU392" s="74"/>
      <c r="BV392" s="74"/>
      <c r="BW392" s="74"/>
      <c r="BX392" s="74"/>
      <c r="BY392" s="74"/>
      <c r="BZ392" s="74"/>
      <c r="CA392" s="74"/>
      <c r="CB392" s="74"/>
      <c r="CC392" s="74"/>
      <c r="CD392" s="74"/>
      <c r="CE392" s="74"/>
      <c r="CF392" s="74"/>
      <c r="CG392" s="74"/>
      <c r="CH392" s="74"/>
      <c r="CI392" s="74"/>
      <c r="CJ392" s="74"/>
      <c r="CK392" s="74"/>
      <c r="CL392" s="74"/>
      <c r="CM392" s="74"/>
      <c r="CN392" s="74"/>
      <c r="CO392" s="74"/>
      <c r="CP392" s="74"/>
      <c r="CQ392" s="74"/>
      <c r="CR392" s="74"/>
      <c r="CS392" s="74"/>
      <c r="CT392" s="74"/>
      <c r="CU392" s="74"/>
      <c r="CV392" s="74"/>
      <c r="CW392" s="74"/>
      <c r="CX392" s="74"/>
      <c r="CY392" s="74"/>
      <c r="CZ392" s="74"/>
      <c r="DA392" s="74"/>
      <c r="DB392" s="74"/>
      <c r="DC392" s="74"/>
    </row>
    <row r="393" spans="15:107" customFormat="1" x14ac:dyDescent="0.35">
      <c r="O393" s="76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  <c r="AX393" s="74"/>
      <c r="AY393" s="74"/>
      <c r="AZ393" s="74"/>
      <c r="BA393" s="74"/>
      <c r="BB393" s="74"/>
      <c r="BC393" s="74"/>
      <c r="BD393" s="74"/>
      <c r="BE393" s="74"/>
      <c r="BF393" s="74"/>
      <c r="BG393" s="74"/>
      <c r="BH393" s="74"/>
      <c r="BI393" s="74"/>
      <c r="BJ393" s="74"/>
      <c r="BK393" s="74"/>
      <c r="BL393" s="74"/>
      <c r="BM393" s="74"/>
      <c r="BN393" s="74"/>
      <c r="BO393" s="74"/>
      <c r="BP393" s="74"/>
      <c r="BQ393" s="74"/>
      <c r="BR393" s="74"/>
      <c r="BS393" s="74"/>
      <c r="BT393" s="74"/>
      <c r="BU393" s="74"/>
      <c r="BV393" s="74"/>
      <c r="BW393" s="74"/>
      <c r="BX393" s="74"/>
      <c r="BY393" s="74"/>
      <c r="BZ393" s="74"/>
      <c r="CA393" s="74"/>
      <c r="CB393" s="74"/>
      <c r="CC393" s="74"/>
      <c r="CD393" s="74"/>
      <c r="CE393" s="74"/>
      <c r="CF393" s="74"/>
      <c r="CG393" s="74"/>
      <c r="CH393" s="74"/>
      <c r="CI393" s="74"/>
      <c r="CJ393" s="74"/>
      <c r="CK393" s="74"/>
      <c r="CL393" s="74"/>
      <c r="CM393" s="74"/>
      <c r="CN393" s="74"/>
      <c r="CO393" s="74"/>
      <c r="CP393" s="74"/>
      <c r="CQ393" s="74"/>
      <c r="CR393" s="74"/>
      <c r="CS393" s="74"/>
      <c r="CT393" s="74"/>
      <c r="CU393" s="74"/>
      <c r="CV393" s="74"/>
      <c r="CW393" s="74"/>
      <c r="CX393" s="74"/>
      <c r="CY393" s="74"/>
      <c r="CZ393" s="74"/>
      <c r="DA393" s="74"/>
      <c r="DB393" s="74"/>
      <c r="DC393" s="74"/>
    </row>
    <row r="394" spans="15:107" customFormat="1" x14ac:dyDescent="0.35">
      <c r="O394" s="76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  <c r="BA394" s="74"/>
      <c r="BB394" s="74"/>
      <c r="BC394" s="74"/>
      <c r="BD394" s="74"/>
      <c r="BE394" s="74"/>
      <c r="BF394" s="74"/>
      <c r="BG394" s="74"/>
      <c r="BH394" s="74"/>
      <c r="BI394" s="74"/>
      <c r="BJ394" s="74"/>
      <c r="BK394" s="74"/>
      <c r="BL394" s="74"/>
      <c r="BM394" s="74"/>
      <c r="BN394" s="74"/>
      <c r="BO394" s="74"/>
      <c r="BP394" s="74"/>
      <c r="BQ394" s="74"/>
      <c r="BR394" s="74"/>
      <c r="BS394" s="74"/>
      <c r="BT394" s="74"/>
      <c r="BU394" s="74"/>
      <c r="BV394" s="74"/>
      <c r="BW394" s="74"/>
      <c r="BX394" s="74"/>
      <c r="BY394" s="74"/>
      <c r="BZ394" s="74"/>
      <c r="CA394" s="74"/>
      <c r="CB394" s="74"/>
      <c r="CC394" s="74"/>
      <c r="CD394" s="74"/>
      <c r="CE394" s="74"/>
      <c r="CF394" s="74"/>
      <c r="CG394" s="74"/>
      <c r="CH394" s="74"/>
      <c r="CI394" s="74"/>
      <c r="CJ394" s="74"/>
      <c r="CK394" s="74"/>
      <c r="CL394" s="74"/>
      <c r="CM394" s="74"/>
      <c r="CN394" s="74"/>
      <c r="CO394" s="74"/>
      <c r="CP394" s="74"/>
      <c r="CQ394" s="74"/>
      <c r="CR394" s="74"/>
      <c r="CS394" s="74"/>
      <c r="CT394" s="74"/>
      <c r="CU394" s="74"/>
      <c r="CV394" s="74"/>
      <c r="CW394" s="74"/>
      <c r="CX394" s="74"/>
      <c r="CY394" s="74"/>
      <c r="CZ394" s="74"/>
      <c r="DA394" s="74"/>
      <c r="DB394" s="74"/>
      <c r="DC394" s="74"/>
    </row>
    <row r="395" spans="15:107" customFormat="1" x14ac:dyDescent="0.35">
      <c r="O395" s="76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  <c r="BA395" s="74"/>
      <c r="BB395" s="74"/>
      <c r="BC395" s="74"/>
      <c r="BD395" s="74"/>
      <c r="BE395" s="74"/>
      <c r="BF395" s="74"/>
      <c r="BG395" s="74"/>
      <c r="BH395" s="74"/>
      <c r="BI395" s="74"/>
      <c r="BJ395" s="74"/>
      <c r="BK395" s="74"/>
      <c r="BL395" s="74"/>
      <c r="BM395" s="74"/>
      <c r="BN395" s="74"/>
      <c r="BO395" s="74"/>
      <c r="BP395" s="74"/>
      <c r="BQ395" s="74"/>
      <c r="BR395" s="74"/>
      <c r="BS395" s="74"/>
      <c r="BT395" s="74"/>
      <c r="BU395" s="74"/>
      <c r="BV395" s="74"/>
      <c r="BW395" s="74"/>
      <c r="BX395" s="74"/>
      <c r="BY395" s="74"/>
      <c r="BZ395" s="74"/>
      <c r="CA395" s="74"/>
      <c r="CB395" s="74"/>
      <c r="CC395" s="74"/>
      <c r="CD395" s="74"/>
      <c r="CE395" s="74"/>
      <c r="CF395" s="74"/>
      <c r="CG395" s="74"/>
      <c r="CH395" s="74"/>
      <c r="CI395" s="74"/>
      <c r="CJ395" s="74"/>
      <c r="CK395" s="74"/>
      <c r="CL395" s="74"/>
      <c r="CM395" s="74"/>
      <c r="CN395" s="74"/>
      <c r="CO395" s="74"/>
      <c r="CP395" s="74"/>
      <c r="CQ395" s="74"/>
      <c r="CR395" s="74"/>
      <c r="CS395" s="74"/>
      <c r="CT395" s="74"/>
      <c r="CU395" s="74"/>
      <c r="CV395" s="74"/>
      <c r="CW395" s="74"/>
      <c r="CX395" s="74"/>
      <c r="CY395" s="74"/>
      <c r="CZ395" s="74"/>
      <c r="DA395" s="74"/>
      <c r="DB395" s="74"/>
      <c r="DC395" s="74"/>
    </row>
    <row r="396" spans="15:107" customFormat="1" x14ac:dyDescent="0.35">
      <c r="O396" s="76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74"/>
      <c r="BE396" s="74"/>
      <c r="BF396" s="74"/>
      <c r="BG396" s="74"/>
      <c r="BH396" s="74"/>
      <c r="BI396" s="74"/>
      <c r="BJ396" s="74"/>
      <c r="BK396" s="74"/>
      <c r="BL396" s="74"/>
      <c r="BM396" s="74"/>
      <c r="BN396" s="74"/>
      <c r="BO396" s="74"/>
      <c r="BP396" s="74"/>
      <c r="BQ396" s="74"/>
      <c r="BR396" s="74"/>
      <c r="BS396" s="74"/>
      <c r="BT396" s="74"/>
      <c r="BU396" s="74"/>
      <c r="BV396" s="74"/>
      <c r="BW396" s="74"/>
      <c r="BX396" s="74"/>
      <c r="BY396" s="74"/>
      <c r="BZ396" s="74"/>
      <c r="CA396" s="74"/>
      <c r="CB396" s="74"/>
      <c r="CC396" s="74"/>
      <c r="CD396" s="74"/>
      <c r="CE396" s="74"/>
      <c r="CF396" s="74"/>
      <c r="CG396" s="74"/>
      <c r="CH396" s="74"/>
      <c r="CI396" s="74"/>
      <c r="CJ396" s="74"/>
      <c r="CK396" s="74"/>
      <c r="CL396" s="74"/>
      <c r="CM396" s="74"/>
      <c r="CN396" s="74"/>
      <c r="CO396" s="74"/>
      <c r="CP396" s="74"/>
      <c r="CQ396" s="74"/>
      <c r="CR396" s="74"/>
      <c r="CS396" s="74"/>
      <c r="CT396" s="74"/>
      <c r="CU396" s="74"/>
      <c r="CV396" s="74"/>
      <c r="CW396" s="74"/>
      <c r="CX396" s="74"/>
      <c r="CY396" s="74"/>
      <c r="CZ396" s="74"/>
      <c r="DA396" s="74"/>
      <c r="DB396" s="74"/>
      <c r="DC396" s="74"/>
    </row>
    <row r="397" spans="15:107" customFormat="1" x14ac:dyDescent="0.35">
      <c r="O397" s="76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74"/>
      <c r="BU397" s="74"/>
      <c r="BV397" s="74"/>
      <c r="BW397" s="74"/>
      <c r="BX397" s="74"/>
      <c r="BY397" s="74"/>
      <c r="BZ397" s="74"/>
      <c r="CA397" s="74"/>
      <c r="CB397" s="74"/>
      <c r="CC397" s="74"/>
      <c r="CD397" s="74"/>
      <c r="CE397" s="74"/>
      <c r="CF397" s="74"/>
      <c r="CG397" s="74"/>
      <c r="CH397" s="74"/>
      <c r="CI397" s="74"/>
      <c r="CJ397" s="74"/>
      <c r="CK397" s="74"/>
      <c r="CL397" s="74"/>
      <c r="CM397" s="74"/>
      <c r="CN397" s="74"/>
      <c r="CO397" s="74"/>
      <c r="CP397" s="74"/>
      <c r="CQ397" s="74"/>
      <c r="CR397" s="74"/>
      <c r="CS397" s="74"/>
      <c r="CT397" s="74"/>
      <c r="CU397" s="74"/>
      <c r="CV397" s="74"/>
      <c r="CW397" s="74"/>
      <c r="CX397" s="74"/>
      <c r="CY397" s="74"/>
      <c r="CZ397" s="74"/>
      <c r="DA397" s="74"/>
      <c r="DB397" s="74"/>
      <c r="DC397" s="74"/>
    </row>
    <row r="398" spans="15:107" customFormat="1" x14ac:dyDescent="0.35">
      <c r="O398" s="76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  <c r="AZ398" s="74"/>
      <c r="BA398" s="74"/>
      <c r="BB398" s="74"/>
      <c r="BC398" s="74"/>
      <c r="BD398" s="74"/>
      <c r="BE398" s="74"/>
      <c r="BF398" s="74"/>
      <c r="BG398" s="74"/>
      <c r="BH398" s="74"/>
      <c r="BI398" s="74"/>
      <c r="BJ398" s="74"/>
      <c r="BK398" s="74"/>
      <c r="BL398" s="74"/>
      <c r="BM398" s="74"/>
      <c r="BN398" s="74"/>
      <c r="BO398" s="74"/>
      <c r="BP398" s="74"/>
      <c r="BQ398" s="74"/>
      <c r="BR398" s="74"/>
      <c r="BS398" s="74"/>
      <c r="BT398" s="74"/>
      <c r="BU398" s="74"/>
      <c r="BV398" s="74"/>
      <c r="BW398" s="74"/>
      <c r="BX398" s="74"/>
      <c r="BY398" s="74"/>
      <c r="BZ398" s="74"/>
      <c r="CA398" s="74"/>
      <c r="CB398" s="74"/>
      <c r="CC398" s="74"/>
      <c r="CD398" s="74"/>
      <c r="CE398" s="74"/>
      <c r="CF398" s="74"/>
      <c r="CG398" s="74"/>
      <c r="CH398" s="74"/>
      <c r="CI398" s="74"/>
      <c r="CJ398" s="74"/>
      <c r="CK398" s="74"/>
      <c r="CL398" s="74"/>
      <c r="CM398" s="74"/>
      <c r="CN398" s="74"/>
      <c r="CO398" s="74"/>
      <c r="CP398" s="74"/>
      <c r="CQ398" s="74"/>
      <c r="CR398" s="74"/>
      <c r="CS398" s="74"/>
      <c r="CT398" s="74"/>
      <c r="CU398" s="74"/>
      <c r="CV398" s="74"/>
      <c r="CW398" s="74"/>
      <c r="CX398" s="74"/>
      <c r="CY398" s="74"/>
      <c r="CZ398" s="74"/>
      <c r="DA398" s="74"/>
      <c r="DB398" s="74"/>
      <c r="DC398" s="74"/>
    </row>
    <row r="399" spans="15:107" customFormat="1" x14ac:dyDescent="0.35">
      <c r="O399" s="76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  <c r="AZ399" s="74"/>
      <c r="BA399" s="74"/>
      <c r="BB399" s="74"/>
      <c r="BC399" s="74"/>
      <c r="BD399" s="74"/>
      <c r="BE399" s="74"/>
      <c r="BF399" s="74"/>
      <c r="BG399" s="74"/>
      <c r="BH399" s="74"/>
      <c r="BI399" s="74"/>
      <c r="BJ399" s="74"/>
      <c r="BK399" s="74"/>
      <c r="BL399" s="74"/>
      <c r="BM399" s="74"/>
      <c r="BN399" s="74"/>
      <c r="BO399" s="74"/>
      <c r="BP399" s="74"/>
      <c r="BQ399" s="74"/>
      <c r="BR399" s="74"/>
      <c r="BS399" s="74"/>
      <c r="BT399" s="74"/>
      <c r="BU399" s="74"/>
      <c r="BV399" s="74"/>
      <c r="BW399" s="74"/>
      <c r="BX399" s="74"/>
      <c r="BY399" s="74"/>
      <c r="BZ399" s="74"/>
      <c r="CA399" s="74"/>
      <c r="CB399" s="74"/>
      <c r="CC399" s="74"/>
      <c r="CD399" s="74"/>
      <c r="CE399" s="74"/>
      <c r="CF399" s="74"/>
      <c r="CG399" s="74"/>
      <c r="CH399" s="74"/>
      <c r="CI399" s="74"/>
      <c r="CJ399" s="74"/>
      <c r="CK399" s="74"/>
      <c r="CL399" s="74"/>
      <c r="CM399" s="74"/>
      <c r="CN399" s="74"/>
      <c r="CO399" s="74"/>
      <c r="CP399" s="74"/>
      <c r="CQ399" s="74"/>
      <c r="CR399" s="74"/>
      <c r="CS399" s="74"/>
      <c r="CT399" s="74"/>
      <c r="CU399" s="74"/>
      <c r="CV399" s="74"/>
      <c r="CW399" s="74"/>
      <c r="CX399" s="74"/>
      <c r="CY399" s="74"/>
      <c r="CZ399" s="74"/>
      <c r="DA399" s="74"/>
      <c r="DB399" s="74"/>
      <c r="DC399" s="74"/>
    </row>
    <row r="400" spans="15:107" customFormat="1" x14ac:dyDescent="0.35">
      <c r="O400" s="76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  <c r="AX400" s="74"/>
      <c r="AY400" s="74"/>
      <c r="AZ400" s="74"/>
      <c r="BA400" s="74"/>
      <c r="BB400" s="74"/>
      <c r="BC400" s="74"/>
      <c r="BD400" s="74"/>
      <c r="BE400" s="74"/>
      <c r="BF400" s="74"/>
      <c r="BG400" s="74"/>
      <c r="BH400" s="74"/>
      <c r="BI400" s="74"/>
      <c r="BJ400" s="74"/>
      <c r="BK400" s="74"/>
      <c r="BL400" s="74"/>
      <c r="BM400" s="74"/>
      <c r="BN400" s="74"/>
      <c r="BO400" s="74"/>
      <c r="BP400" s="74"/>
      <c r="BQ400" s="74"/>
      <c r="BR400" s="74"/>
      <c r="BS400" s="74"/>
      <c r="BT400" s="74"/>
      <c r="BU400" s="74"/>
      <c r="BV400" s="74"/>
      <c r="BW400" s="74"/>
      <c r="BX400" s="74"/>
      <c r="BY400" s="74"/>
      <c r="BZ400" s="74"/>
      <c r="CA400" s="74"/>
      <c r="CB400" s="74"/>
      <c r="CC400" s="74"/>
      <c r="CD400" s="74"/>
      <c r="CE400" s="74"/>
      <c r="CF400" s="74"/>
      <c r="CG400" s="74"/>
      <c r="CH400" s="74"/>
      <c r="CI400" s="74"/>
      <c r="CJ400" s="74"/>
      <c r="CK400" s="74"/>
      <c r="CL400" s="74"/>
      <c r="CM400" s="74"/>
      <c r="CN400" s="74"/>
      <c r="CO400" s="74"/>
      <c r="CP400" s="74"/>
      <c r="CQ400" s="74"/>
      <c r="CR400" s="74"/>
      <c r="CS400" s="74"/>
      <c r="CT400" s="74"/>
      <c r="CU400" s="74"/>
      <c r="CV400" s="74"/>
      <c r="CW400" s="74"/>
      <c r="CX400" s="74"/>
      <c r="CY400" s="74"/>
      <c r="CZ400" s="74"/>
      <c r="DA400" s="74"/>
      <c r="DB400" s="74"/>
      <c r="DC400" s="74"/>
    </row>
    <row r="401" spans="15:107" customFormat="1" x14ac:dyDescent="0.35">
      <c r="O401" s="76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  <c r="AZ401" s="74"/>
      <c r="BA401" s="74"/>
      <c r="BB401" s="74"/>
      <c r="BC401" s="74"/>
      <c r="BD401" s="74"/>
      <c r="BE401" s="74"/>
      <c r="BF401" s="74"/>
      <c r="BG401" s="74"/>
      <c r="BH401" s="74"/>
      <c r="BI401" s="74"/>
      <c r="BJ401" s="74"/>
      <c r="BK401" s="74"/>
      <c r="BL401" s="74"/>
      <c r="BM401" s="74"/>
      <c r="BN401" s="74"/>
      <c r="BO401" s="74"/>
      <c r="BP401" s="74"/>
      <c r="BQ401" s="74"/>
      <c r="BR401" s="74"/>
      <c r="BS401" s="74"/>
      <c r="BT401" s="74"/>
      <c r="BU401" s="74"/>
      <c r="BV401" s="74"/>
      <c r="BW401" s="74"/>
      <c r="BX401" s="74"/>
      <c r="BY401" s="74"/>
      <c r="BZ401" s="74"/>
      <c r="CA401" s="74"/>
      <c r="CB401" s="74"/>
      <c r="CC401" s="74"/>
      <c r="CD401" s="74"/>
      <c r="CE401" s="74"/>
      <c r="CF401" s="74"/>
      <c r="CG401" s="74"/>
      <c r="CH401" s="74"/>
      <c r="CI401" s="74"/>
      <c r="CJ401" s="74"/>
      <c r="CK401" s="74"/>
      <c r="CL401" s="74"/>
      <c r="CM401" s="74"/>
      <c r="CN401" s="74"/>
      <c r="CO401" s="74"/>
      <c r="CP401" s="74"/>
      <c r="CQ401" s="74"/>
      <c r="CR401" s="74"/>
      <c r="CS401" s="74"/>
      <c r="CT401" s="74"/>
      <c r="CU401" s="74"/>
      <c r="CV401" s="74"/>
      <c r="CW401" s="74"/>
      <c r="CX401" s="74"/>
      <c r="CY401" s="74"/>
      <c r="CZ401" s="74"/>
      <c r="DA401" s="74"/>
      <c r="DB401" s="74"/>
      <c r="DC401" s="74"/>
    </row>
    <row r="402" spans="15:107" customFormat="1" x14ac:dyDescent="0.35">
      <c r="O402" s="76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  <c r="BA402" s="74"/>
      <c r="BB402" s="74"/>
      <c r="BC402" s="74"/>
      <c r="BD402" s="74"/>
      <c r="BE402" s="74"/>
      <c r="BF402" s="74"/>
      <c r="BG402" s="74"/>
      <c r="BH402" s="74"/>
      <c r="BI402" s="74"/>
      <c r="BJ402" s="74"/>
      <c r="BK402" s="74"/>
      <c r="BL402" s="74"/>
      <c r="BM402" s="74"/>
      <c r="BN402" s="74"/>
      <c r="BO402" s="74"/>
      <c r="BP402" s="74"/>
      <c r="BQ402" s="74"/>
      <c r="BR402" s="74"/>
      <c r="BS402" s="74"/>
      <c r="BT402" s="74"/>
      <c r="BU402" s="74"/>
      <c r="BV402" s="74"/>
      <c r="BW402" s="74"/>
      <c r="BX402" s="74"/>
      <c r="BY402" s="74"/>
      <c r="BZ402" s="74"/>
      <c r="CA402" s="74"/>
      <c r="CB402" s="74"/>
      <c r="CC402" s="74"/>
      <c r="CD402" s="74"/>
      <c r="CE402" s="74"/>
      <c r="CF402" s="74"/>
      <c r="CG402" s="74"/>
      <c r="CH402" s="74"/>
      <c r="CI402" s="74"/>
      <c r="CJ402" s="74"/>
      <c r="CK402" s="74"/>
      <c r="CL402" s="74"/>
      <c r="CM402" s="74"/>
      <c r="CN402" s="74"/>
      <c r="CO402" s="74"/>
      <c r="CP402" s="74"/>
      <c r="CQ402" s="74"/>
      <c r="CR402" s="74"/>
      <c r="CS402" s="74"/>
      <c r="CT402" s="74"/>
      <c r="CU402" s="74"/>
      <c r="CV402" s="74"/>
      <c r="CW402" s="74"/>
      <c r="CX402" s="74"/>
      <c r="CY402" s="74"/>
      <c r="CZ402" s="74"/>
      <c r="DA402" s="74"/>
      <c r="DB402" s="74"/>
      <c r="DC402" s="74"/>
    </row>
    <row r="403" spans="15:107" customFormat="1" x14ac:dyDescent="0.35">
      <c r="O403" s="76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  <c r="BA403" s="74"/>
      <c r="BB403" s="74"/>
      <c r="BC403" s="74"/>
      <c r="BD403" s="74"/>
      <c r="BE403" s="74"/>
      <c r="BF403" s="74"/>
      <c r="BG403" s="74"/>
      <c r="BH403" s="74"/>
      <c r="BI403" s="74"/>
      <c r="BJ403" s="74"/>
      <c r="BK403" s="74"/>
      <c r="BL403" s="74"/>
      <c r="BM403" s="74"/>
      <c r="BN403" s="74"/>
      <c r="BO403" s="74"/>
      <c r="BP403" s="74"/>
      <c r="BQ403" s="74"/>
      <c r="BR403" s="74"/>
      <c r="BS403" s="74"/>
      <c r="BT403" s="74"/>
      <c r="BU403" s="74"/>
      <c r="BV403" s="74"/>
      <c r="BW403" s="74"/>
      <c r="BX403" s="74"/>
      <c r="BY403" s="74"/>
      <c r="BZ403" s="74"/>
      <c r="CA403" s="74"/>
      <c r="CB403" s="74"/>
      <c r="CC403" s="74"/>
      <c r="CD403" s="74"/>
      <c r="CE403" s="74"/>
      <c r="CF403" s="74"/>
      <c r="CG403" s="74"/>
      <c r="CH403" s="74"/>
      <c r="CI403" s="74"/>
      <c r="CJ403" s="74"/>
      <c r="CK403" s="74"/>
      <c r="CL403" s="74"/>
      <c r="CM403" s="74"/>
      <c r="CN403" s="74"/>
      <c r="CO403" s="74"/>
      <c r="CP403" s="74"/>
      <c r="CQ403" s="74"/>
      <c r="CR403" s="74"/>
      <c r="CS403" s="74"/>
      <c r="CT403" s="74"/>
      <c r="CU403" s="74"/>
      <c r="CV403" s="74"/>
      <c r="CW403" s="74"/>
      <c r="CX403" s="74"/>
      <c r="CY403" s="74"/>
      <c r="CZ403" s="74"/>
      <c r="DA403" s="74"/>
      <c r="DB403" s="74"/>
      <c r="DC403" s="74"/>
    </row>
    <row r="404" spans="15:107" customFormat="1" x14ac:dyDescent="0.35">
      <c r="O404" s="76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  <c r="BA404" s="74"/>
      <c r="BB404" s="74"/>
      <c r="BC404" s="74"/>
      <c r="BD404" s="74"/>
      <c r="BE404" s="74"/>
      <c r="BF404" s="74"/>
      <c r="BG404" s="74"/>
      <c r="BH404" s="74"/>
      <c r="BI404" s="74"/>
      <c r="BJ404" s="74"/>
      <c r="BK404" s="74"/>
      <c r="BL404" s="74"/>
      <c r="BM404" s="74"/>
      <c r="BN404" s="74"/>
      <c r="BO404" s="74"/>
      <c r="BP404" s="74"/>
      <c r="BQ404" s="74"/>
      <c r="BR404" s="74"/>
      <c r="BS404" s="74"/>
      <c r="BT404" s="74"/>
      <c r="BU404" s="74"/>
      <c r="BV404" s="74"/>
      <c r="BW404" s="74"/>
      <c r="BX404" s="74"/>
      <c r="BY404" s="74"/>
      <c r="BZ404" s="74"/>
      <c r="CA404" s="74"/>
      <c r="CB404" s="74"/>
      <c r="CC404" s="74"/>
      <c r="CD404" s="74"/>
      <c r="CE404" s="74"/>
      <c r="CF404" s="74"/>
      <c r="CG404" s="74"/>
      <c r="CH404" s="74"/>
      <c r="CI404" s="74"/>
      <c r="CJ404" s="74"/>
      <c r="CK404" s="74"/>
      <c r="CL404" s="74"/>
      <c r="CM404" s="74"/>
      <c r="CN404" s="74"/>
      <c r="CO404" s="74"/>
      <c r="CP404" s="74"/>
      <c r="CQ404" s="74"/>
      <c r="CR404" s="74"/>
      <c r="CS404" s="74"/>
      <c r="CT404" s="74"/>
      <c r="CU404" s="74"/>
      <c r="CV404" s="74"/>
      <c r="CW404" s="74"/>
      <c r="CX404" s="74"/>
      <c r="CY404" s="74"/>
      <c r="CZ404" s="74"/>
      <c r="DA404" s="74"/>
      <c r="DB404" s="74"/>
      <c r="DC404" s="74"/>
    </row>
    <row r="405" spans="15:107" customFormat="1" x14ac:dyDescent="0.35">
      <c r="O405" s="76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  <c r="AZ405" s="74"/>
      <c r="BA405" s="74"/>
      <c r="BB405" s="74"/>
      <c r="BC405" s="74"/>
      <c r="BD405" s="74"/>
      <c r="BE405" s="74"/>
      <c r="BF405" s="74"/>
      <c r="BG405" s="74"/>
      <c r="BH405" s="74"/>
      <c r="BI405" s="74"/>
      <c r="BJ405" s="74"/>
      <c r="BK405" s="74"/>
      <c r="BL405" s="74"/>
      <c r="BM405" s="74"/>
      <c r="BN405" s="74"/>
      <c r="BO405" s="74"/>
      <c r="BP405" s="74"/>
      <c r="BQ405" s="74"/>
      <c r="BR405" s="74"/>
      <c r="BS405" s="74"/>
      <c r="BT405" s="74"/>
      <c r="BU405" s="74"/>
      <c r="BV405" s="74"/>
      <c r="BW405" s="74"/>
      <c r="BX405" s="74"/>
      <c r="BY405" s="74"/>
      <c r="BZ405" s="74"/>
      <c r="CA405" s="74"/>
      <c r="CB405" s="74"/>
      <c r="CC405" s="74"/>
      <c r="CD405" s="74"/>
      <c r="CE405" s="74"/>
      <c r="CF405" s="74"/>
      <c r="CG405" s="74"/>
      <c r="CH405" s="74"/>
      <c r="CI405" s="74"/>
      <c r="CJ405" s="74"/>
      <c r="CK405" s="74"/>
      <c r="CL405" s="74"/>
      <c r="CM405" s="74"/>
      <c r="CN405" s="74"/>
      <c r="CO405" s="74"/>
      <c r="CP405" s="74"/>
      <c r="CQ405" s="74"/>
      <c r="CR405" s="74"/>
      <c r="CS405" s="74"/>
      <c r="CT405" s="74"/>
      <c r="CU405" s="74"/>
      <c r="CV405" s="74"/>
      <c r="CW405" s="74"/>
      <c r="CX405" s="74"/>
      <c r="CY405" s="74"/>
      <c r="CZ405" s="74"/>
      <c r="DA405" s="74"/>
      <c r="DB405" s="74"/>
      <c r="DC405" s="74"/>
    </row>
    <row r="406" spans="15:107" customFormat="1" x14ac:dyDescent="0.35">
      <c r="O406" s="76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74"/>
      <c r="BJ406" s="74"/>
      <c r="BK406" s="74"/>
      <c r="BL406" s="74"/>
      <c r="BM406" s="74"/>
      <c r="BN406" s="74"/>
      <c r="BO406" s="74"/>
      <c r="BP406" s="74"/>
      <c r="BQ406" s="74"/>
      <c r="BR406" s="74"/>
      <c r="BS406" s="74"/>
      <c r="BT406" s="74"/>
      <c r="BU406" s="74"/>
      <c r="BV406" s="74"/>
      <c r="BW406" s="74"/>
      <c r="BX406" s="74"/>
      <c r="BY406" s="74"/>
      <c r="BZ406" s="74"/>
      <c r="CA406" s="74"/>
      <c r="CB406" s="74"/>
      <c r="CC406" s="74"/>
      <c r="CD406" s="74"/>
      <c r="CE406" s="74"/>
      <c r="CF406" s="74"/>
      <c r="CG406" s="74"/>
      <c r="CH406" s="74"/>
      <c r="CI406" s="74"/>
      <c r="CJ406" s="74"/>
      <c r="CK406" s="74"/>
      <c r="CL406" s="74"/>
      <c r="CM406" s="74"/>
      <c r="CN406" s="74"/>
      <c r="CO406" s="74"/>
      <c r="CP406" s="74"/>
      <c r="CQ406" s="74"/>
      <c r="CR406" s="74"/>
      <c r="CS406" s="74"/>
      <c r="CT406" s="74"/>
      <c r="CU406" s="74"/>
      <c r="CV406" s="74"/>
      <c r="CW406" s="74"/>
      <c r="CX406" s="74"/>
      <c r="CY406" s="74"/>
      <c r="CZ406" s="74"/>
      <c r="DA406" s="74"/>
      <c r="DB406" s="74"/>
      <c r="DC406" s="74"/>
    </row>
    <row r="407" spans="15:107" customFormat="1" x14ac:dyDescent="0.35">
      <c r="O407" s="76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74"/>
      <c r="BJ407" s="74"/>
      <c r="BK407" s="74"/>
      <c r="BL407" s="74"/>
      <c r="BM407" s="74"/>
      <c r="BN407" s="74"/>
      <c r="BO407" s="74"/>
      <c r="BP407" s="74"/>
      <c r="BQ407" s="74"/>
      <c r="BR407" s="74"/>
      <c r="BS407" s="74"/>
      <c r="BT407" s="74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74"/>
      <c r="CR407" s="74"/>
      <c r="CS407" s="74"/>
      <c r="CT407" s="74"/>
      <c r="CU407" s="74"/>
      <c r="CV407" s="74"/>
      <c r="CW407" s="74"/>
      <c r="CX407" s="74"/>
      <c r="CY407" s="74"/>
      <c r="CZ407" s="74"/>
      <c r="DA407" s="74"/>
      <c r="DB407" s="74"/>
      <c r="DC407" s="74"/>
    </row>
    <row r="408" spans="15:107" customFormat="1" x14ac:dyDescent="0.35">
      <c r="O408" s="76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4"/>
      <c r="BB408" s="74"/>
      <c r="BC408" s="74"/>
      <c r="BD408" s="74"/>
      <c r="BE408" s="74"/>
      <c r="BF408" s="74"/>
      <c r="BG408" s="74"/>
      <c r="BH408" s="74"/>
      <c r="BI408" s="74"/>
      <c r="BJ408" s="74"/>
      <c r="BK408" s="74"/>
      <c r="BL408" s="74"/>
      <c r="BM408" s="74"/>
      <c r="BN408" s="74"/>
      <c r="BO408" s="74"/>
      <c r="BP408" s="74"/>
      <c r="BQ408" s="74"/>
      <c r="BR408" s="74"/>
      <c r="BS408" s="74"/>
      <c r="BT408" s="74"/>
      <c r="BU408" s="74"/>
      <c r="BV408" s="74"/>
      <c r="BW408" s="74"/>
      <c r="BX408" s="74"/>
      <c r="BY408" s="74"/>
      <c r="BZ408" s="74"/>
      <c r="CA408" s="74"/>
      <c r="CB408" s="74"/>
      <c r="CC408" s="74"/>
      <c r="CD408" s="74"/>
      <c r="CE408" s="74"/>
      <c r="CF408" s="74"/>
      <c r="CG408" s="74"/>
      <c r="CH408" s="74"/>
      <c r="CI408" s="74"/>
      <c r="CJ408" s="74"/>
      <c r="CK408" s="74"/>
      <c r="CL408" s="74"/>
      <c r="CM408" s="74"/>
      <c r="CN408" s="74"/>
      <c r="CO408" s="74"/>
      <c r="CP408" s="74"/>
      <c r="CQ408" s="74"/>
      <c r="CR408" s="74"/>
      <c r="CS408" s="74"/>
      <c r="CT408" s="74"/>
      <c r="CU408" s="74"/>
      <c r="CV408" s="74"/>
      <c r="CW408" s="74"/>
      <c r="CX408" s="74"/>
      <c r="CY408" s="74"/>
      <c r="CZ408" s="74"/>
      <c r="DA408" s="74"/>
      <c r="DB408" s="74"/>
      <c r="DC408" s="74"/>
    </row>
    <row r="409" spans="15:107" customFormat="1" x14ac:dyDescent="0.35">
      <c r="O409" s="76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74"/>
      <c r="BE409" s="74"/>
      <c r="BF409" s="74"/>
      <c r="BG409" s="74"/>
      <c r="BH409" s="74"/>
      <c r="BI409" s="74"/>
      <c r="BJ409" s="74"/>
      <c r="BK409" s="74"/>
      <c r="BL409" s="74"/>
      <c r="BM409" s="74"/>
      <c r="BN409" s="74"/>
      <c r="BO409" s="74"/>
      <c r="BP409" s="74"/>
      <c r="BQ409" s="74"/>
      <c r="BR409" s="74"/>
      <c r="BS409" s="74"/>
      <c r="BT409" s="74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74"/>
      <c r="CR409" s="74"/>
      <c r="CS409" s="74"/>
      <c r="CT409" s="74"/>
      <c r="CU409" s="74"/>
      <c r="CV409" s="74"/>
      <c r="CW409" s="74"/>
      <c r="CX409" s="74"/>
      <c r="CY409" s="74"/>
      <c r="CZ409" s="74"/>
      <c r="DA409" s="74"/>
      <c r="DB409" s="74"/>
      <c r="DC409" s="74"/>
    </row>
    <row r="410" spans="15:107" customFormat="1" x14ac:dyDescent="0.35">
      <c r="O410" s="76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74"/>
      <c r="CT410" s="74"/>
      <c r="CU410" s="74"/>
      <c r="CV410" s="74"/>
      <c r="CW410" s="74"/>
      <c r="CX410" s="74"/>
      <c r="CY410" s="74"/>
      <c r="CZ410" s="74"/>
      <c r="DA410" s="74"/>
      <c r="DB410" s="74"/>
      <c r="DC410" s="74"/>
    </row>
    <row r="411" spans="15:107" customFormat="1" x14ac:dyDescent="0.35">
      <c r="O411" s="76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74"/>
      <c r="CE411" s="74"/>
      <c r="CF411" s="74"/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74"/>
      <c r="CR411" s="74"/>
      <c r="CS411" s="74"/>
      <c r="CT411" s="74"/>
      <c r="CU411" s="74"/>
      <c r="CV411" s="74"/>
      <c r="CW411" s="74"/>
      <c r="CX411" s="74"/>
      <c r="CY411" s="74"/>
      <c r="CZ411" s="74"/>
      <c r="DA411" s="74"/>
      <c r="DB411" s="74"/>
      <c r="DC411" s="74"/>
    </row>
    <row r="412" spans="15:107" customFormat="1" x14ac:dyDescent="0.35">
      <c r="O412" s="76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4"/>
      <c r="CH412" s="74"/>
      <c r="CI412" s="74"/>
      <c r="CJ412" s="74"/>
      <c r="CK412" s="74"/>
      <c r="CL412" s="74"/>
      <c r="CM412" s="74"/>
      <c r="CN412" s="74"/>
      <c r="CO412" s="74"/>
      <c r="CP412" s="74"/>
      <c r="CQ412" s="74"/>
      <c r="CR412" s="74"/>
      <c r="CS412" s="74"/>
      <c r="CT412" s="74"/>
      <c r="CU412" s="74"/>
      <c r="CV412" s="74"/>
      <c r="CW412" s="74"/>
      <c r="CX412" s="74"/>
      <c r="CY412" s="74"/>
      <c r="CZ412" s="74"/>
      <c r="DA412" s="74"/>
      <c r="DB412" s="74"/>
      <c r="DC412" s="74"/>
    </row>
    <row r="413" spans="15:107" customFormat="1" x14ac:dyDescent="0.35">
      <c r="O413" s="76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4"/>
      <c r="CH413" s="74"/>
      <c r="CI413" s="74"/>
      <c r="CJ413" s="74"/>
      <c r="CK413" s="74"/>
      <c r="CL413" s="74"/>
      <c r="CM413" s="74"/>
      <c r="CN413" s="74"/>
      <c r="CO413" s="74"/>
      <c r="CP413" s="74"/>
      <c r="CQ413" s="74"/>
      <c r="CR413" s="74"/>
      <c r="CS413" s="74"/>
      <c r="CT413" s="74"/>
      <c r="CU413" s="74"/>
      <c r="CV413" s="74"/>
      <c r="CW413" s="74"/>
      <c r="CX413" s="74"/>
      <c r="CY413" s="74"/>
      <c r="CZ413" s="74"/>
      <c r="DA413" s="74"/>
      <c r="DB413" s="74"/>
      <c r="DC413" s="74"/>
    </row>
    <row r="414" spans="15:107" customFormat="1" x14ac:dyDescent="0.35">
      <c r="O414" s="76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74"/>
      <c r="CR414" s="74"/>
      <c r="CS414" s="74"/>
      <c r="CT414" s="74"/>
      <c r="CU414" s="74"/>
      <c r="CV414" s="74"/>
      <c r="CW414" s="74"/>
      <c r="CX414" s="74"/>
      <c r="CY414" s="74"/>
      <c r="CZ414" s="74"/>
      <c r="DA414" s="74"/>
      <c r="DB414" s="74"/>
      <c r="DC414" s="74"/>
    </row>
    <row r="415" spans="15:107" customFormat="1" x14ac:dyDescent="0.35">
      <c r="O415" s="76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74"/>
      <c r="CT415" s="74"/>
      <c r="CU415" s="74"/>
      <c r="CV415" s="74"/>
      <c r="CW415" s="74"/>
      <c r="CX415" s="74"/>
      <c r="CY415" s="74"/>
      <c r="CZ415" s="74"/>
      <c r="DA415" s="74"/>
      <c r="DB415" s="74"/>
      <c r="DC415" s="74"/>
    </row>
    <row r="416" spans="15:107" customFormat="1" x14ac:dyDescent="0.35">
      <c r="O416" s="76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74"/>
      <c r="CE416" s="74"/>
      <c r="CF416" s="74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74"/>
      <c r="CU416" s="74"/>
      <c r="CV416" s="74"/>
      <c r="CW416" s="74"/>
      <c r="CX416" s="74"/>
      <c r="CY416" s="74"/>
      <c r="CZ416" s="74"/>
      <c r="DA416" s="74"/>
      <c r="DB416" s="74"/>
      <c r="DC416" s="74"/>
    </row>
    <row r="417" spans="15:107" customFormat="1" x14ac:dyDescent="0.35">
      <c r="O417" s="76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  <c r="CD417" s="74"/>
      <c r="CE417" s="74"/>
      <c r="CF417" s="74"/>
      <c r="CG417" s="74"/>
      <c r="CH417" s="74"/>
      <c r="CI417" s="74"/>
      <c r="CJ417" s="74"/>
      <c r="CK417" s="74"/>
      <c r="CL417" s="74"/>
      <c r="CM417" s="74"/>
      <c r="CN417" s="74"/>
      <c r="CO417" s="74"/>
      <c r="CP417" s="74"/>
      <c r="CQ417" s="74"/>
      <c r="CR417" s="74"/>
      <c r="CS417" s="74"/>
      <c r="CT417" s="74"/>
      <c r="CU417" s="74"/>
      <c r="CV417" s="74"/>
      <c r="CW417" s="74"/>
      <c r="CX417" s="74"/>
      <c r="CY417" s="74"/>
      <c r="CZ417" s="74"/>
      <c r="DA417" s="74"/>
      <c r="DB417" s="74"/>
      <c r="DC417" s="74"/>
    </row>
    <row r="418" spans="15:107" customFormat="1" x14ac:dyDescent="0.35">
      <c r="O418" s="76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  <c r="CD418" s="74"/>
      <c r="CE418" s="74"/>
      <c r="CF418" s="74"/>
      <c r="CG418" s="74"/>
      <c r="CH418" s="74"/>
      <c r="CI418" s="74"/>
      <c r="CJ418" s="74"/>
      <c r="CK418" s="74"/>
      <c r="CL418" s="74"/>
      <c r="CM418" s="74"/>
      <c r="CN418" s="74"/>
      <c r="CO418" s="74"/>
      <c r="CP418" s="74"/>
      <c r="CQ418" s="74"/>
      <c r="CR418" s="74"/>
      <c r="CS418" s="74"/>
      <c r="CT418" s="74"/>
      <c r="CU418" s="74"/>
      <c r="CV418" s="74"/>
      <c r="CW418" s="74"/>
      <c r="CX418" s="74"/>
      <c r="CY418" s="74"/>
      <c r="CZ418" s="74"/>
      <c r="DA418" s="74"/>
      <c r="DB418" s="74"/>
      <c r="DC418" s="74"/>
    </row>
    <row r="419" spans="15:107" customFormat="1" x14ac:dyDescent="0.35">
      <c r="O419" s="76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  <c r="BY419" s="74"/>
      <c r="BZ419" s="74"/>
      <c r="CA419" s="74"/>
      <c r="CB419" s="74"/>
      <c r="CC419" s="74"/>
      <c r="CD419" s="74"/>
      <c r="CE419" s="74"/>
      <c r="CF419" s="74"/>
      <c r="CG419" s="74"/>
      <c r="CH419" s="74"/>
      <c r="CI419" s="74"/>
      <c r="CJ419" s="74"/>
      <c r="CK419" s="74"/>
      <c r="CL419" s="74"/>
      <c r="CM419" s="74"/>
      <c r="CN419" s="74"/>
      <c r="CO419" s="74"/>
      <c r="CP419" s="74"/>
      <c r="CQ419" s="74"/>
      <c r="CR419" s="74"/>
      <c r="CS419" s="74"/>
      <c r="CT419" s="74"/>
      <c r="CU419" s="74"/>
      <c r="CV419" s="74"/>
      <c r="CW419" s="74"/>
      <c r="CX419" s="74"/>
      <c r="CY419" s="74"/>
      <c r="CZ419" s="74"/>
      <c r="DA419" s="74"/>
      <c r="DB419" s="74"/>
      <c r="DC419" s="74"/>
    </row>
    <row r="420" spans="15:107" customFormat="1" x14ac:dyDescent="0.35">
      <c r="O420" s="76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  <c r="AZ420" s="74"/>
      <c r="BA420" s="74"/>
      <c r="BB420" s="74"/>
      <c r="BC420" s="74"/>
      <c r="BD420" s="74"/>
      <c r="BE420" s="74"/>
      <c r="BF420" s="74"/>
      <c r="BG420" s="74"/>
      <c r="BH420" s="74"/>
      <c r="BI420" s="74"/>
      <c r="BJ420" s="74"/>
      <c r="BK420" s="74"/>
      <c r="BL420" s="74"/>
      <c r="BM420" s="74"/>
      <c r="BN420" s="74"/>
      <c r="BO420" s="74"/>
      <c r="BP420" s="74"/>
      <c r="BQ420" s="74"/>
      <c r="BR420" s="74"/>
      <c r="BS420" s="74"/>
      <c r="BT420" s="74"/>
      <c r="BU420" s="74"/>
      <c r="BV420" s="74"/>
      <c r="BW420" s="74"/>
      <c r="BX420" s="74"/>
      <c r="BY420" s="74"/>
      <c r="BZ420" s="74"/>
      <c r="CA420" s="74"/>
      <c r="CB420" s="74"/>
      <c r="CC420" s="74"/>
      <c r="CD420" s="74"/>
      <c r="CE420" s="74"/>
      <c r="CF420" s="74"/>
      <c r="CG420" s="74"/>
      <c r="CH420" s="74"/>
      <c r="CI420" s="74"/>
      <c r="CJ420" s="74"/>
      <c r="CK420" s="74"/>
      <c r="CL420" s="74"/>
      <c r="CM420" s="74"/>
      <c r="CN420" s="74"/>
      <c r="CO420" s="74"/>
      <c r="CP420" s="74"/>
      <c r="CQ420" s="74"/>
      <c r="CR420" s="74"/>
      <c r="CS420" s="74"/>
      <c r="CT420" s="74"/>
      <c r="CU420" s="74"/>
      <c r="CV420" s="74"/>
      <c r="CW420" s="74"/>
      <c r="CX420" s="74"/>
      <c r="CY420" s="74"/>
      <c r="CZ420" s="74"/>
      <c r="DA420" s="74"/>
      <c r="DB420" s="74"/>
      <c r="DC420" s="74"/>
    </row>
    <row r="421" spans="15:107" customFormat="1" x14ac:dyDescent="0.35">
      <c r="O421" s="76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  <c r="BA421" s="74"/>
      <c r="BB421" s="74"/>
      <c r="BC421" s="74"/>
      <c r="BD421" s="74"/>
      <c r="BE421" s="74"/>
      <c r="BF421" s="74"/>
      <c r="BG421" s="74"/>
      <c r="BH421" s="74"/>
      <c r="BI421" s="74"/>
      <c r="BJ421" s="74"/>
      <c r="BK421" s="74"/>
      <c r="BL421" s="74"/>
      <c r="BM421" s="74"/>
      <c r="BN421" s="74"/>
      <c r="BO421" s="74"/>
      <c r="BP421" s="74"/>
      <c r="BQ421" s="74"/>
      <c r="BR421" s="74"/>
      <c r="BS421" s="74"/>
      <c r="BT421" s="74"/>
      <c r="BU421" s="74"/>
      <c r="BV421" s="74"/>
      <c r="BW421" s="74"/>
      <c r="BX421" s="74"/>
      <c r="BY421" s="74"/>
      <c r="BZ421" s="74"/>
      <c r="CA421" s="74"/>
      <c r="CB421" s="74"/>
      <c r="CC421" s="74"/>
      <c r="CD421" s="74"/>
      <c r="CE421" s="74"/>
      <c r="CF421" s="74"/>
      <c r="CG421" s="74"/>
      <c r="CH421" s="74"/>
      <c r="CI421" s="74"/>
      <c r="CJ421" s="74"/>
      <c r="CK421" s="74"/>
      <c r="CL421" s="74"/>
      <c r="CM421" s="74"/>
      <c r="CN421" s="74"/>
      <c r="CO421" s="74"/>
      <c r="CP421" s="74"/>
      <c r="CQ421" s="74"/>
      <c r="CR421" s="74"/>
      <c r="CS421" s="74"/>
      <c r="CT421" s="74"/>
      <c r="CU421" s="74"/>
      <c r="CV421" s="74"/>
      <c r="CW421" s="74"/>
      <c r="CX421" s="74"/>
      <c r="CY421" s="74"/>
      <c r="CZ421" s="74"/>
      <c r="DA421" s="74"/>
      <c r="DB421" s="74"/>
      <c r="DC421" s="74"/>
    </row>
    <row r="422" spans="15:107" customFormat="1" x14ac:dyDescent="0.35">
      <c r="O422" s="76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  <c r="BA422" s="74"/>
      <c r="BB422" s="74"/>
      <c r="BC422" s="74"/>
      <c r="BD422" s="74"/>
      <c r="BE422" s="74"/>
      <c r="BF422" s="74"/>
      <c r="BG422" s="74"/>
      <c r="BH422" s="74"/>
      <c r="BI422" s="74"/>
      <c r="BJ422" s="74"/>
      <c r="BK422" s="74"/>
      <c r="BL422" s="74"/>
      <c r="BM422" s="74"/>
      <c r="BN422" s="74"/>
      <c r="BO422" s="74"/>
      <c r="BP422" s="74"/>
      <c r="BQ422" s="74"/>
      <c r="BR422" s="74"/>
      <c r="BS422" s="74"/>
      <c r="BT422" s="74"/>
      <c r="BU422" s="74"/>
      <c r="BV422" s="74"/>
      <c r="BW422" s="74"/>
      <c r="BX422" s="74"/>
      <c r="BY422" s="74"/>
      <c r="BZ422" s="74"/>
      <c r="CA422" s="74"/>
      <c r="CB422" s="74"/>
      <c r="CC422" s="74"/>
      <c r="CD422" s="74"/>
      <c r="CE422" s="74"/>
      <c r="CF422" s="74"/>
      <c r="CG422" s="74"/>
      <c r="CH422" s="74"/>
      <c r="CI422" s="74"/>
      <c r="CJ422" s="74"/>
      <c r="CK422" s="74"/>
      <c r="CL422" s="74"/>
      <c r="CM422" s="74"/>
      <c r="CN422" s="74"/>
      <c r="CO422" s="74"/>
      <c r="CP422" s="74"/>
      <c r="CQ422" s="74"/>
      <c r="CR422" s="74"/>
      <c r="CS422" s="74"/>
      <c r="CT422" s="74"/>
      <c r="CU422" s="74"/>
      <c r="CV422" s="74"/>
      <c r="CW422" s="74"/>
      <c r="CX422" s="74"/>
      <c r="CY422" s="74"/>
      <c r="CZ422" s="74"/>
      <c r="DA422" s="74"/>
      <c r="DB422" s="74"/>
      <c r="DC422" s="74"/>
    </row>
    <row r="423" spans="15:107" customFormat="1" x14ac:dyDescent="0.35">
      <c r="O423" s="76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  <c r="AZ423" s="74"/>
      <c r="BA423" s="74"/>
      <c r="BB423" s="74"/>
      <c r="BC423" s="74"/>
      <c r="BD423" s="74"/>
      <c r="BE423" s="74"/>
      <c r="BF423" s="74"/>
      <c r="BG423" s="74"/>
      <c r="BH423" s="74"/>
      <c r="BI423" s="74"/>
      <c r="BJ423" s="74"/>
      <c r="BK423" s="74"/>
      <c r="BL423" s="74"/>
      <c r="BM423" s="74"/>
      <c r="BN423" s="74"/>
      <c r="BO423" s="74"/>
      <c r="BP423" s="74"/>
      <c r="BQ423" s="74"/>
      <c r="BR423" s="74"/>
      <c r="BS423" s="74"/>
      <c r="BT423" s="74"/>
      <c r="BU423" s="74"/>
      <c r="BV423" s="74"/>
      <c r="BW423" s="74"/>
      <c r="BX423" s="74"/>
      <c r="BY423" s="74"/>
      <c r="BZ423" s="74"/>
      <c r="CA423" s="74"/>
      <c r="CB423" s="74"/>
      <c r="CC423" s="74"/>
      <c r="CD423" s="74"/>
      <c r="CE423" s="74"/>
      <c r="CF423" s="74"/>
      <c r="CG423" s="74"/>
      <c r="CH423" s="74"/>
      <c r="CI423" s="74"/>
      <c r="CJ423" s="74"/>
      <c r="CK423" s="74"/>
      <c r="CL423" s="74"/>
      <c r="CM423" s="74"/>
      <c r="CN423" s="74"/>
      <c r="CO423" s="74"/>
      <c r="CP423" s="74"/>
      <c r="CQ423" s="74"/>
      <c r="CR423" s="74"/>
      <c r="CS423" s="74"/>
      <c r="CT423" s="74"/>
      <c r="CU423" s="74"/>
      <c r="CV423" s="74"/>
      <c r="CW423" s="74"/>
      <c r="CX423" s="74"/>
      <c r="CY423" s="74"/>
      <c r="CZ423" s="74"/>
      <c r="DA423" s="74"/>
      <c r="DB423" s="74"/>
      <c r="DC423" s="74"/>
    </row>
    <row r="424" spans="15:107" customFormat="1" x14ac:dyDescent="0.35">
      <c r="O424" s="76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  <c r="BA424" s="74"/>
      <c r="BB424" s="74"/>
      <c r="BC424" s="74"/>
      <c r="BD424" s="74"/>
      <c r="BE424" s="74"/>
      <c r="BF424" s="74"/>
      <c r="BG424" s="74"/>
      <c r="BH424" s="74"/>
      <c r="BI424" s="74"/>
      <c r="BJ424" s="74"/>
      <c r="BK424" s="74"/>
      <c r="BL424" s="74"/>
      <c r="BM424" s="74"/>
      <c r="BN424" s="74"/>
      <c r="BO424" s="74"/>
      <c r="BP424" s="74"/>
      <c r="BQ424" s="74"/>
      <c r="BR424" s="74"/>
      <c r="BS424" s="74"/>
      <c r="BT424" s="74"/>
      <c r="BU424" s="74"/>
      <c r="BV424" s="74"/>
      <c r="BW424" s="74"/>
      <c r="BX424" s="74"/>
      <c r="BY424" s="74"/>
      <c r="BZ424" s="74"/>
      <c r="CA424" s="74"/>
      <c r="CB424" s="74"/>
      <c r="CC424" s="74"/>
      <c r="CD424" s="74"/>
      <c r="CE424" s="74"/>
      <c r="CF424" s="74"/>
      <c r="CG424" s="74"/>
      <c r="CH424" s="74"/>
      <c r="CI424" s="74"/>
      <c r="CJ424" s="74"/>
      <c r="CK424" s="74"/>
      <c r="CL424" s="74"/>
      <c r="CM424" s="74"/>
      <c r="CN424" s="74"/>
      <c r="CO424" s="74"/>
      <c r="CP424" s="74"/>
      <c r="CQ424" s="74"/>
      <c r="CR424" s="74"/>
      <c r="CS424" s="74"/>
      <c r="CT424" s="74"/>
      <c r="CU424" s="74"/>
      <c r="CV424" s="74"/>
      <c r="CW424" s="74"/>
      <c r="CX424" s="74"/>
      <c r="CY424" s="74"/>
      <c r="CZ424" s="74"/>
      <c r="DA424" s="74"/>
      <c r="DB424" s="74"/>
      <c r="DC424" s="74"/>
    </row>
    <row r="425" spans="15:107" customFormat="1" x14ac:dyDescent="0.35">
      <c r="O425" s="76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  <c r="BA425" s="74"/>
      <c r="BB425" s="74"/>
      <c r="BC425" s="74"/>
      <c r="BD425" s="74"/>
      <c r="BE425" s="74"/>
      <c r="BF425" s="74"/>
      <c r="BG425" s="74"/>
      <c r="BH425" s="74"/>
      <c r="BI425" s="74"/>
      <c r="BJ425" s="74"/>
      <c r="BK425" s="74"/>
      <c r="BL425" s="74"/>
      <c r="BM425" s="74"/>
      <c r="BN425" s="74"/>
      <c r="BO425" s="74"/>
      <c r="BP425" s="74"/>
      <c r="BQ425" s="74"/>
      <c r="BR425" s="74"/>
      <c r="BS425" s="74"/>
      <c r="BT425" s="74"/>
      <c r="BU425" s="74"/>
      <c r="BV425" s="74"/>
      <c r="BW425" s="74"/>
      <c r="BX425" s="74"/>
      <c r="BY425" s="74"/>
      <c r="BZ425" s="74"/>
      <c r="CA425" s="74"/>
      <c r="CB425" s="74"/>
      <c r="CC425" s="74"/>
      <c r="CD425" s="74"/>
      <c r="CE425" s="74"/>
      <c r="CF425" s="74"/>
      <c r="CG425" s="74"/>
      <c r="CH425" s="74"/>
      <c r="CI425" s="74"/>
      <c r="CJ425" s="74"/>
      <c r="CK425" s="74"/>
      <c r="CL425" s="74"/>
      <c r="CM425" s="74"/>
      <c r="CN425" s="74"/>
      <c r="CO425" s="74"/>
      <c r="CP425" s="74"/>
      <c r="CQ425" s="74"/>
      <c r="CR425" s="74"/>
      <c r="CS425" s="74"/>
      <c r="CT425" s="74"/>
      <c r="CU425" s="74"/>
      <c r="CV425" s="74"/>
      <c r="CW425" s="74"/>
      <c r="CX425" s="74"/>
      <c r="CY425" s="74"/>
      <c r="CZ425" s="74"/>
      <c r="DA425" s="74"/>
      <c r="DB425" s="74"/>
      <c r="DC425" s="74"/>
    </row>
    <row r="426" spans="15:107" customFormat="1" x14ac:dyDescent="0.35">
      <c r="O426" s="76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  <c r="BA426" s="74"/>
      <c r="BB426" s="74"/>
      <c r="BC426" s="74"/>
      <c r="BD426" s="74"/>
      <c r="BE426" s="74"/>
      <c r="BF426" s="74"/>
      <c r="BG426" s="74"/>
      <c r="BH426" s="74"/>
      <c r="BI426" s="74"/>
      <c r="BJ426" s="74"/>
      <c r="BK426" s="74"/>
      <c r="BL426" s="74"/>
      <c r="BM426" s="74"/>
      <c r="BN426" s="74"/>
      <c r="BO426" s="74"/>
      <c r="BP426" s="74"/>
      <c r="BQ426" s="74"/>
      <c r="BR426" s="74"/>
      <c r="BS426" s="74"/>
      <c r="BT426" s="74"/>
      <c r="BU426" s="74"/>
      <c r="BV426" s="74"/>
      <c r="BW426" s="74"/>
      <c r="BX426" s="74"/>
      <c r="BY426" s="74"/>
      <c r="BZ426" s="74"/>
      <c r="CA426" s="74"/>
      <c r="CB426" s="74"/>
      <c r="CC426" s="74"/>
      <c r="CD426" s="74"/>
      <c r="CE426" s="74"/>
      <c r="CF426" s="74"/>
      <c r="CG426" s="74"/>
      <c r="CH426" s="74"/>
      <c r="CI426" s="74"/>
      <c r="CJ426" s="74"/>
      <c r="CK426" s="74"/>
      <c r="CL426" s="74"/>
      <c r="CM426" s="74"/>
      <c r="CN426" s="74"/>
      <c r="CO426" s="74"/>
      <c r="CP426" s="74"/>
      <c r="CQ426" s="74"/>
      <c r="CR426" s="74"/>
      <c r="CS426" s="74"/>
      <c r="CT426" s="74"/>
      <c r="CU426" s="74"/>
      <c r="CV426" s="74"/>
      <c r="CW426" s="74"/>
      <c r="CX426" s="74"/>
      <c r="CY426" s="74"/>
      <c r="CZ426" s="74"/>
      <c r="DA426" s="74"/>
      <c r="DB426" s="74"/>
      <c r="DC426" s="74"/>
    </row>
    <row r="427" spans="15:107" customFormat="1" x14ac:dyDescent="0.35">
      <c r="O427" s="76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  <c r="AZ427" s="74"/>
      <c r="BA427" s="74"/>
      <c r="BB427" s="74"/>
      <c r="BC427" s="74"/>
      <c r="BD427" s="74"/>
      <c r="BE427" s="74"/>
      <c r="BF427" s="74"/>
      <c r="BG427" s="74"/>
      <c r="BH427" s="74"/>
      <c r="BI427" s="74"/>
      <c r="BJ427" s="74"/>
      <c r="BK427" s="74"/>
      <c r="BL427" s="74"/>
      <c r="BM427" s="74"/>
      <c r="BN427" s="74"/>
      <c r="BO427" s="74"/>
      <c r="BP427" s="74"/>
      <c r="BQ427" s="74"/>
      <c r="BR427" s="74"/>
      <c r="BS427" s="74"/>
      <c r="BT427" s="74"/>
      <c r="BU427" s="74"/>
      <c r="BV427" s="74"/>
      <c r="BW427" s="74"/>
      <c r="BX427" s="74"/>
      <c r="BY427" s="74"/>
      <c r="BZ427" s="74"/>
      <c r="CA427" s="74"/>
      <c r="CB427" s="74"/>
      <c r="CC427" s="74"/>
      <c r="CD427" s="74"/>
      <c r="CE427" s="74"/>
      <c r="CF427" s="74"/>
      <c r="CG427" s="74"/>
      <c r="CH427" s="74"/>
      <c r="CI427" s="74"/>
      <c r="CJ427" s="74"/>
      <c r="CK427" s="74"/>
      <c r="CL427" s="74"/>
      <c r="CM427" s="74"/>
      <c r="CN427" s="74"/>
      <c r="CO427" s="74"/>
      <c r="CP427" s="74"/>
      <c r="CQ427" s="74"/>
      <c r="CR427" s="74"/>
      <c r="CS427" s="74"/>
      <c r="CT427" s="74"/>
      <c r="CU427" s="74"/>
      <c r="CV427" s="74"/>
      <c r="CW427" s="74"/>
      <c r="CX427" s="74"/>
      <c r="CY427" s="74"/>
      <c r="CZ427" s="74"/>
      <c r="DA427" s="74"/>
      <c r="DB427" s="74"/>
      <c r="DC427" s="74"/>
    </row>
    <row r="428" spans="15:107" customFormat="1" x14ac:dyDescent="0.35">
      <c r="O428" s="76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  <c r="AZ428" s="74"/>
      <c r="BA428" s="74"/>
      <c r="BB428" s="74"/>
      <c r="BC428" s="74"/>
      <c r="BD428" s="74"/>
      <c r="BE428" s="74"/>
      <c r="BF428" s="74"/>
      <c r="BG428" s="74"/>
      <c r="BH428" s="74"/>
      <c r="BI428" s="74"/>
      <c r="BJ428" s="74"/>
      <c r="BK428" s="74"/>
      <c r="BL428" s="74"/>
      <c r="BM428" s="74"/>
      <c r="BN428" s="74"/>
      <c r="BO428" s="74"/>
      <c r="BP428" s="74"/>
      <c r="BQ428" s="74"/>
      <c r="BR428" s="74"/>
      <c r="BS428" s="74"/>
      <c r="BT428" s="74"/>
      <c r="BU428" s="74"/>
      <c r="BV428" s="74"/>
      <c r="BW428" s="74"/>
      <c r="BX428" s="74"/>
      <c r="BY428" s="74"/>
      <c r="BZ428" s="74"/>
      <c r="CA428" s="74"/>
      <c r="CB428" s="74"/>
      <c r="CC428" s="74"/>
      <c r="CD428" s="74"/>
      <c r="CE428" s="74"/>
      <c r="CF428" s="74"/>
      <c r="CG428" s="74"/>
      <c r="CH428" s="74"/>
      <c r="CI428" s="74"/>
      <c r="CJ428" s="74"/>
      <c r="CK428" s="74"/>
      <c r="CL428" s="74"/>
      <c r="CM428" s="74"/>
      <c r="CN428" s="74"/>
      <c r="CO428" s="74"/>
      <c r="CP428" s="74"/>
      <c r="CQ428" s="74"/>
      <c r="CR428" s="74"/>
      <c r="CS428" s="74"/>
      <c r="CT428" s="74"/>
      <c r="CU428" s="74"/>
      <c r="CV428" s="74"/>
      <c r="CW428" s="74"/>
      <c r="CX428" s="74"/>
      <c r="CY428" s="74"/>
      <c r="CZ428" s="74"/>
      <c r="DA428" s="74"/>
      <c r="DB428" s="74"/>
      <c r="DC428" s="74"/>
    </row>
    <row r="429" spans="15:107" customFormat="1" x14ac:dyDescent="0.35">
      <c r="O429" s="76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74"/>
      <c r="AT429" s="74"/>
      <c r="AU429" s="74"/>
      <c r="AV429" s="74"/>
      <c r="AW429" s="74"/>
      <c r="AX429" s="74"/>
      <c r="AY429" s="74"/>
      <c r="AZ429" s="74"/>
      <c r="BA429" s="74"/>
      <c r="BB429" s="74"/>
      <c r="BC429" s="74"/>
      <c r="BD429" s="74"/>
      <c r="BE429" s="74"/>
      <c r="BF429" s="74"/>
      <c r="BG429" s="74"/>
      <c r="BH429" s="74"/>
      <c r="BI429" s="74"/>
      <c r="BJ429" s="74"/>
      <c r="BK429" s="74"/>
      <c r="BL429" s="74"/>
      <c r="BM429" s="74"/>
      <c r="BN429" s="74"/>
      <c r="BO429" s="74"/>
      <c r="BP429" s="74"/>
      <c r="BQ429" s="74"/>
      <c r="BR429" s="74"/>
      <c r="BS429" s="74"/>
      <c r="BT429" s="74"/>
      <c r="BU429" s="74"/>
      <c r="BV429" s="74"/>
      <c r="BW429" s="74"/>
      <c r="BX429" s="74"/>
      <c r="BY429" s="74"/>
      <c r="BZ429" s="74"/>
      <c r="CA429" s="74"/>
      <c r="CB429" s="74"/>
      <c r="CC429" s="74"/>
      <c r="CD429" s="74"/>
      <c r="CE429" s="74"/>
      <c r="CF429" s="74"/>
      <c r="CG429" s="74"/>
      <c r="CH429" s="74"/>
      <c r="CI429" s="74"/>
      <c r="CJ429" s="74"/>
      <c r="CK429" s="74"/>
      <c r="CL429" s="74"/>
      <c r="CM429" s="74"/>
      <c r="CN429" s="74"/>
      <c r="CO429" s="74"/>
      <c r="CP429" s="74"/>
      <c r="CQ429" s="74"/>
      <c r="CR429" s="74"/>
      <c r="CS429" s="74"/>
      <c r="CT429" s="74"/>
      <c r="CU429" s="74"/>
      <c r="CV429" s="74"/>
      <c r="CW429" s="74"/>
      <c r="CX429" s="74"/>
      <c r="CY429" s="74"/>
      <c r="CZ429" s="74"/>
      <c r="DA429" s="74"/>
      <c r="DB429" s="74"/>
      <c r="DC429" s="74"/>
    </row>
    <row r="430" spans="15:107" customFormat="1" x14ac:dyDescent="0.35">
      <c r="O430" s="76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  <c r="AZ430" s="74"/>
      <c r="BA430" s="74"/>
      <c r="BB430" s="74"/>
      <c r="BC430" s="74"/>
      <c r="BD430" s="74"/>
      <c r="BE430" s="74"/>
      <c r="BF430" s="74"/>
      <c r="BG430" s="74"/>
      <c r="BH430" s="74"/>
      <c r="BI430" s="74"/>
      <c r="BJ430" s="74"/>
      <c r="BK430" s="74"/>
      <c r="BL430" s="74"/>
      <c r="BM430" s="74"/>
      <c r="BN430" s="74"/>
      <c r="BO430" s="74"/>
      <c r="BP430" s="74"/>
      <c r="BQ430" s="74"/>
      <c r="BR430" s="74"/>
      <c r="BS430" s="74"/>
      <c r="BT430" s="74"/>
      <c r="BU430" s="74"/>
      <c r="BV430" s="74"/>
      <c r="BW430" s="74"/>
      <c r="BX430" s="74"/>
      <c r="BY430" s="74"/>
      <c r="BZ430" s="74"/>
      <c r="CA430" s="74"/>
      <c r="CB430" s="74"/>
      <c r="CC430" s="74"/>
      <c r="CD430" s="74"/>
      <c r="CE430" s="74"/>
      <c r="CF430" s="74"/>
      <c r="CG430" s="74"/>
      <c r="CH430" s="74"/>
      <c r="CI430" s="74"/>
      <c r="CJ430" s="74"/>
      <c r="CK430" s="74"/>
      <c r="CL430" s="74"/>
      <c r="CM430" s="74"/>
      <c r="CN430" s="74"/>
      <c r="CO430" s="74"/>
      <c r="CP430" s="74"/>
      <c r="CQ430" s="74"/>
      <c r="CR430" s="74"/>
      <c r="CS430" s="74"/>
      <c r="CT430" s="74"/>
      <c r="CU430" s="74"/>
      <c r="CV430" s="74"/>
      <c r="CW430" s="74"/>
      <c r="CX430" s="74"/>
      <c r="CY430" s="74"/>
      <c r="CZ430" s="74"/>
      <c r="DA430" s="74"/>
      <c r="DB430" s="74"/>
      <c r="DC430" s="74"/>
    </row>
    <row r="431" spans="15:107" customFormat="1" x14ac:dyDescent="0.35">
      <c r="O431" s="76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  <c r="AZ431" s="74"/>
      <c r="BA431" s="74"/>
      <c r="BB431" s="74"/>
      <c r="BC431" s="74"/>
      <c r="BD431" s="74"/>
      <c r="BE431" s="74"/>
      <c r="BF431" s="74"/>
      <c r="BG431" s="74"/>
      <c r="BH431" s="74"/>
      <c r="BI431" s="74"/>
      <c r="BJ431" s="74"/>
      <c r="BK431" s="74"/>
      <c r="BL431" s="74"/>
      <c r="BM431" s="74"/>
      <c r="BN431" s="74"/>
      <c r="BO431" s="74"/>
      <c r="BP431" s="74"/>
      <c r="BQ431" s="74"/>
      <c r="BR431" s="74"/>
      <c r="BS431" s="74"/>
      <c r="BT431" s="74"/>
      <c r="BU431" s="74"/>
      <c r="BV431" s="74"/>
      <c r="BW431" s="74"/>
      <c r="BX431" s="74"/>
      <c r="BY431" s="74"/>
      <c r="BZ431" s="74"/>
      <c r="CA431" s="74"/>
      <c r="CB431" s="74"/>
      <c r="CC431" s="74"/>
      <c r="CD431" s="74"/>
      <c r="CE431" s="74"/>
      <c r="CF431" s="74"/>
      <c r="CG431" s="74"/>
      <c r="CH431" s="74"/>
      <c r="CI431" s="74"/>
      <c r="CJ431" s="74"/>
      <c r="CK431" s="74"/>
      <c r="CL431" s="74"/>
      <c r="CM431" s="74"/>
      <c r="CN431" s="74"/>
      <c r="CO431" s="74"/>
      <c r="CP431" s="74"/>
      <c r="CQ431" s="74"/>
      <c r="CR431" s="74"/>
      <c r="CS431" s="74"/>
      <c r="CT431" s="74"/>
      <c r="CU431" s="74"/>
      <c r="CV431" s="74"/>
      <c r="CW431" s="74"/>
      <c r="CX431" s="74"/>
      <c r="CY431" s="74"/>
      <c r="CZ431" s="74"/>
      <c r="DA431" s="74"/>
      <c r="DB431" s="74"/>
      <c r="DC431" s="74"/>
    </row>
    <row r="432" spans="15:107" customFormat="1" x14ac:dyDescent="0.35">
      <c r="O432" s="76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  <c r="AZ432" s="74"/>
      <c r="BA432" s="74"/>
      <c r="BB432" s="74"/>
      <c r="BC432" s="74"/>
      <c r="BD432" s="74"/>
      <c r="BE432" s="74"/>
      <c r="BF432" s="74"/>
      <c r="BG432" s="74"/>
      <c r="BH432" s="74"/>
      <c r="BI432" s="74"/>
      <c r="BJ432" s="74"/>
      <c r="BK432" s="74"/>
      <c r="BL432" s="74"/>
      <c r="BM432" s="74"/>
      <c r="BN432" s="74"/>
      <c r="BO432" s="74"/>
      <c r="BP432" s="74"/>
      <c r="BQ432" s="74"/>
      <c r="BR432" s="74"/>
      <c r="BS432" s="74"/>
      <c r="BT432" s="74"/>
      <c r="BU432" s="74"/>
      <c r="BV432" s="74"/>
      <c r="BW432" s="74"/>
      <c r="BX432" s="74"/>
      <c r="BY432" s="74"/>
      <c r="BZ432" s="74"/>
      <c r="CA432" s="74"/>
      <c r="CB432" s="74"/>
      <c r="CC432" s="74"/>
      <c r="CD432" s="74"/>
      <c r="CE432" s="74"/>
      <c r="CF432" s="74"/>
      <c r="CG432" s="74"/>
      <c r="CH432" s="74"/>
      <c r="CI432" s="74"/>
      <c r="CJ432" s="74"/>
      <c r="CK432" s="74"/>
      <c r="CL432" s="74"/>
      <c r="CM432" s="74"/>
      <c r="CN432" s="74"/>
      <c r="CO432" s="74"/>
      <c r="CP432" s="74"/>
      <c r="CQ432" s="74"/>
      <c r="CR432" s="74"/>
      <c r="CS432" s="74"/>
      <c r="CT432" s="74"/>
      <c r="CU432" s="74"/>
      <c r="CV432" s="74"/>
      <c r="CW432" s="74"/>
      <c r="CX432" s="74"/>
      <c r="CY432" s="74"/>
      <c r="CZ432" s="74"/>
      <c r="DA432" s="74"/>
      <c r="DB432" s="74"/>
      <c r="DC432" s="74"/>
    </row>
    <row r="433" spans="15:107" customFormat="1" x14ac:dyDescent="0.35">
      <c r="O433" s="76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  <c r="AZ433" s="74"/>
      <c r="BA433" s="74"/>
      <c r="BB433" s="74"/>
      <c r="BC433" s="74"/>
      <c r="BD433" s="74"/>
      <c r="BE433" s="74"/>
      <c r="BF433" s="74"/>
      <c r="BG433" s="74"/>
      <c r="BH433" s="74"/>
      <c r="BI433" s="74"/>
      <c r="BJ433" s="74"/>
      <c r="BK433" s="74"/>
      <c r="BL433" s="74"/>
      <c r="BM433" s="74"/>
      <c r="BN433" s="74"/>
      <c r="BO433" s="74"/>
      <c r="BP433" s="74"/>
      <c r="BQ433" s="74"/>
      <c r="BR433" s="74"/>
      <c r="BS433" s="74"/>
      <c r="BT433" s="74"/>
      <c r="BU433" s="74"/>
      <c r="BV433" s="74"/>
      <c r="BW433" s="74"/>
      <c r="BX433" s="74"/>
      <c r="BY433" s="74"/>
      <c r="BZ433" s="74"/>
      <c r="CA433" s="74"/>
      <c r="CB433" s="74"/>
      <c r="CC433" s="74"/>
      <c r="CD433" s="74"/>
      <c r="CE433" s="74"/>
      <c r="CF433" s="74"/>
      <c r="CG433" s="74"/>
      <c r="CH433" s="74"/>
      <c r="CI433" s="74"/>
      <c r="CJ433" s="74"/>
      <c r="CK433" s="74"/>
      <c r="CL433" s="74"/>
      <c r="CM433" s="74"/>
      <c r="CN433" s="74"/>
      <c r="CO433" s="74"/>
      <c r="CP433" s="74"/>
      <c r="CQ433" s="74"/>
      <c r="CR433" s="74"/>
      <c r="CS433" s="74"/>
      <c r="CT433" s="74"/>
      <c r="CU433" s="74"/>
      <c r="CV433" s="74"/>
      <c r="CW433" s="74"/>
      <c r="CX433" s="74"/>
      <c r="CY433" s="74"/>
      <c r="CZ433" s="74"/>
      <c r="DA433" s="74"/>
      <c r="DB433" s="74"/>
      <c r="DC433" s="74"/>
    </row>
    <row r="434" spans="15:107" customFormat="1" x14ac:dyDescent="0.35">
      <c r="O434" s="76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  <c r="AZ434" s="74"/>
      <c r="BA434" s="74"/>
      <c r="BB434" s="74"/>
      <c r="BC434" s="74"/>
      <c r="BD434" s="74"/>
      <c r="BE434" s="74"/>
      <c r="BF434" s="74"/>
      <c r="BG434" s="74"/>
      <c r="BH434" s="74"/>
      <c r="BI434" s="74"/>
      <c r="BJ434" s="74"/>
      <c r="BK434" s="74"/>
      <c r="BL434" s="74"/>
      <c r="BM434" s="74"/>
      <c r="BN434" s="74"/>
      <c r="BO434" s="74"/>
      <c r="BP434" s="74"/>
      <c r="BQ434" s="74"/>
      <c r="BR434" s="74"/>
      <c r="BS434" s="74"/>
      <c r="BT434" s="74"/>
      <c r="BU434" s="74"/>
      <c r="BV434" s="74"/>
      <c r="BW434" s="74"/>
      <c r="BX434" s="74"/>
      <c r="BY434" s="74"/>
      <c r="BZ434" s="74"/>
      <c r="CA434" s="74"/>
      <c r="CB434" s="74"/>
      <c r="CC434" s="74"/>
      <c r="CD434" s="74"/>
      <c r="CE434" s="74"/>
      <c r="CF434" s="74"/>
      <c r="CG434" s="74"/>
      <c r="CH434" s="74"/>
      <c r="CI434" s="74"/>
      <c r="CJ434" s="74"/>
      <c r="CK434" s="74"/>
      <c r="CL434" s="74"/>
      <c r="CM434" s="74"/>
      <c r="CN434" s="74"/>
      <c r="CO434" s="74"/>
      <c r="CP434" s="74"/>
      <c r="CQ434" s="74"/>
      <c r="CR434" s="74"/>
      <c r="CS434" s="74"/>
      <c r="CT434" s="74"/>
      <c r="CU434" s="74"/>
      <c r="CV434" s="74"/>
      <c r="CW434" s="74"/>
      <c r="CX434" s="74"/>
      <c r="CY434" s="74"/>
      <c r="CZ434" s="74"/>
      <c r="DA434" s="74"/>
      <c r="DB434" s="74"/>
      <c r="DC434" s="74"/>
    </row>
    <row r="435" spans="15:107" customFormat="1" x14ac:dyDescent="0.35">
      <c r="O435" s="76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/>
      <c r="BE435" s="74"/>
      <c r="BF435" s="74"/>
      <c r="BG435" s="74"/>
      <c r="BH435" s="74"/>
      <c r="BI435" s="74"/>
      <c r="BJ435" s="74"/>
      <c r="BK435" s="74"/>
      <c r="BL435" s="74"/>
      <c r="BM435" s="74"/>
      <c r="BN435" s="74"/>
      <c r="BO435" s="74"/>
      <c r="BP435" s="74"/>
      <c r="BQ435" s="74"/>
      <c r="BR435" s="74"/>
      <c r="BS435" s="74"/>
      <c r="BT435" s="74"/>
      <c r="BU435" s="74"/>
      <c r="BV435" s="74"/>
      <c r="BW435" s="74"/>
      <c r="BX435" s="74"/>
      <c r="BY435" s="74"/>
      <c r="BZ435" s="74"/>
      <c r="CA435" s="74"/>
      <c r="CB435" s="74"/>
      <c r="CC435" s="74"/>
      <c r="CD435" s="74"/>
      <c r="CE435" s="74"/>
      <c r="CF435" s="74"/>
      <c r="CG435" s="74"/>
      <c r="CH435" s="74"/>
      <c r="CI435" s="74"/>
      <c r="CJ435" s="74"/>
      <c r="CK435" s="74"/>
      <c r="CL435" s="74"/>
      <c r="CM435" s="74"/>
      <c r="CN435" s="74"/>
      <c r="CO435" s="74"/>
      <c r="CP435" s="74"/>
      <c r="CQ435" s="74"/>
      <c r="CR435" s="74"/>
      <c r="CS435" s="74"/>
      <c r="CT435" s="74"/>
      <c r="CU435" s="74"/>
      <c r="CV435" s="74"/>
      <c r="CW435" s="74"/>
      <c r="CX435" s="74"/>
      <c r="CY435" s="74"/>
      <c r="CZ435" s="74"/>
      <c r="DA435" s="74"/>
      <c r="DB435" s="74"/>
      <c r="DC435" s="74"/>
    </row>
    <row r="436" spans="15:107" customFormat="1" x14ac:dyDescent="0.35">
      <c r="O436" s="76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  <c r="AZ436" s="74"/>
      <c r="BA436" s="74"/>
      <c r="BB436" s="74"/>
      <c r="BC436" s="74"/>
      <c r="BD436" s="74"/>
      <c r="BE436" s="74"/>
      <c r="BF436" s="74"/>
      <c r="BG436" s="74"/>
      <c r="BH436" s="74"/>
      <c r="BI436" s="74"/>
      <c r="BJ436" s="74"/>
      <c r="BK436" s="74"/>
      <c r="BL436" s="74"/>
      <c r="BM436" s="74"/>
      <c r="BN436" s="74"/>
      <c r="BO436" s="74"/>
      <c r="BP436" s="74"/>
      <c r="BQ436" s="74"/>
      <c r="BR436" s="74"/>
      <c r="BS436" s="74"/>
      <c r="BT436" s="74"/>
      <c r="BU436" s="74"/>
      <c r="BV436" s="74"/>
      <c r="BW436" s="74"/>
      <c r="BX436" s="74"/>
      <c r="BY436" s="74"/>
      <c r="BZ436" s="74"/>
      <c r="CA436" s="74"/>
      <c r="CB436" s="74"/>
      <c r="CC436" s="74"/>
      <c r="CD436" s="74"/>
      <c r="CE436" s="74"/>
      <c r="CF436" s="74"/>
      <c r="CG436" s="74"/>
      <c r="CH436" s="74"/>
      <c r="CI436" s="74"/>
      <c r="CJ436" s="74"/>
      <c r="CK436" s="74"/>
      <c r="CL436" s="74"/>
      <c r="CM436" s="74"/>
      <c r="CN436" s="74"/>
      <c r="CO436" s="74"/>
      <c r="CP436" s="74"/>
      <c r="CQ436" s="74"/>
      <c r="CR436" s="74"/>
      <c r="CS436" s="74"/>
      <c r="CT436" s="74"/>
      <c r="CU436" s="74"/>
      <c r="CV436" s="74"/>
      <c r="CW436" s="74"/>
      <c r="CX436" s="74"/>
      <c r="CY436" s="74"/>
      <c r="CZ436" s="74"/>
      <c r="DA436" s="74"/>
      <c r="DB436" s="74"/>
      <c r="DC436" s="74"/>
    </row>
    <row r="437" spans="15:107" customFormat="1" x14ac:dyDescent="0.35">
      <c r="O437" s="76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  <c r="BA437" s="74"/>
      <c r="BB437" s="74"/>
      <c r="BC437" s="74"/>
      <c r="BD437" s="74"/>
      <c r="BE437" s="74"/>
      <c r="BF437" s="74"/>
      <c r="BG437" s="74"/>
      <c r="BH437" s="74"/>
      <c r="BI437" s="74"/>
      <c r="BJ437" s="74"/>
      <c r="BK437" s="74"/>
      <c r="BL437" s="74"/>
      <c r="BM437" s="74"/>
      <c r="BN437" s="74"/>
      <c r="BO437" s="74"/>
      <c r="BP437" s="74"/>
      <c r="BQ437" s="74"/>
      <c r="BR437" s="74"/>
      <c r="BS437" s="74"/>
      <c r="BT437" s="74"/>
      <c r="BU437" s="74"/>
      <c r="BV437" s="74"/>
      <c r="BW437" s="74"/>
      <c r="BX437" s="74"/>
      <c r="BY437" s="74"/>
      <c r="BZ437" s="74"/>
      <c r="CA437" s="74"/>
      <c r="CB437" s="74"/>
      <c r="CC437" s="74"/>
      <c r="CD437" s="74"/>
      <c r="CE437" s="74"/>
      <c r="CF437" s="74"/>
      <c r="CG437" s="74"/>
      <c r="CH437" s="74"/>
      <c r="CI437" s="74"/>
      <c r="CJ437" s="74"/>
      <c r="CK437" s="74"/>
      <c r="CL437" s="74"/>
      <c r="CM437" s="74"/>
      <c r="CN437" s="74"/>
      <c r="CO437" s="74"/>
      <c r="CP437" s="74"/>
      <c r="CQ437" s="74"/>
      <c r="CR437" s="74"/>
      <c r="CS437" s="74"/>
      <c r="CT437" s="74"/>
      <c r="CU437" s="74"/>
      <c r="CV437" s="74"/>
      <c r="CW437" s="74"/>
      <c r="CX437" s="74"/>
      <c r="CY437" s="74"/>
      <c r="CZ437" s="74"/>
      <c r="DA437" s="74"/>
      <c r="DB437" s="74"/>
      <c r="DC437" s="74"/>
    </row>
    <row r="438" spans="15:107" customFormat="1" x14ac:dyDescent="0.35">
      <c r="O438" s="76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  <c r="BA438" s="74"/>
      <c r="BB438" s="74"/>
      <c r="BC438" s="74"/>
      <c r="BD438" s="74"/>
      <c r="BE438" s="74"/>
      <c r="BF438" s="74"/>
      <c r="BG438" s="74"/>
      <c r="BH438" s="74"/>
      <c r="BI438" s="74"/>
      <c r="BJ438" s="74"/>
      <c r="BK438" s="74"/>
      <c r="BL438" s="74"/>
      <c r="BM438" s="74"/>
      <c r="BN438" s="74"/>
      <c r="BO438" s="74"/>
      <c r="BP438" s="74"/>
      <c r="BQ438" s="74"/>
      <c r="BR438" s="74"/>
      <c r="BS438" s="74"/>
      <c r="BT438" s="74"/>
      <c r="BU438" s="74"/>
      <c r="BV438" s="74"/>
      <c r="BW438" s="74"/>
      <c r="BX438" s="74"/>
      <c r="BY438" s="74"/>
      <c r="BZ438" s="74"/>
      <c r="CA438" s="74"/>
      <c r="CB438" s="74"/>
      <c r="CC438" s="74"/>
      <c r="CD438" s="74"/>
      <c r="CE438" s="74"/>
      <c r="CF438" s="74"/>
      <c r="CG438" s="74"/>
      <c r="CH438" s="74"/>
      <c r="CI438" s="74"/>
      <c r="CJ438" s="74"/>
      <c r="CK438" s="74"/>
      <c r="CL438" s="74"/>
      <c r="CM438" s="74"/>
      <c r="CN438" s="74"/>
      <c r="CO438" s="74"/>
      <c r="CP438" s="74"/>
      <c r="CQ438" s="74"/>
      <c r="CR438" s="74"/>
      <c r="CS438" s="74"/>
      <c r="CT438" s="74"/>
      <c r="CU438" s="74"/>
      <c r="CV438" s="74"/>
      <c r="CW438" s="74"/>
      <c r="CX438" s="74"/>
      <c r="CY438" s="74"/>
      <c r="CZ438" s="74"/>
      <c r="DA438" s="74"/>
      <c r="DB438" s="74"/>
      <c r="DC438" s="74"/>
    </row>
    <row r="439" spans="15:107" customFormat="1" x14ac:dyDescent="0.35">
      <c r="O439" s="76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  <c r="AW439" s="74"/>
      <c r="AX439" s="74"/>
      <c r="AY439" s="74"/>
      <c r="AZ439" s="74"/>
      <c r="BA439" s="74"/>
      <c r="BB439" s="74"/>
      <c r="BC439" s="74"/>
      <c r="BD439" s="74"/>
      <c r="BE439" s="74"/>
      <c r="BF439" s="74"/>
      <c r="BG439" s="74"/>
      <c r="BH439" s="74"/>
      <c r="BI439" s="74"/>
      <c r="BJ439" s="74"/>
      <c r="BK439" s="74"/>
      <c r="BL439" s="74"/>
      <c r="BM439" s="74"/>
      <c r="BN439" s="74"/>
      <c r="BO439" s="74"/>
      <c r="BP439" s="74"/>
      <c r="BQ439" s="74"/>
      <c r="BR439" s="74"/>
      <c r="BS439" s="74"/>
      <c r="BT439" s="74"/>
      <c r="BU439" s="74"/>
      <c r="BV439" s="74"/>
      <c r="BW439" s="74"/>
      <c r="BX439" s="74"/>
      <c r="BY439" s="74"/>
      <c r="BZ439" s="74"/>
      <c r="CA439" s="74"/>
      <c r="CB439" s="74"/>
      <c r="CC439" s="74"/>
      <c r="CD439" s="74"/>
      <c r="CE439" s="74"/>
      <c r="CF439" s="74"/>
      <c r="CG439" s="74"/>
      <c r="CH439" s="74"/>
      <c r="CI439" s="74"/>
      <c r="CJ439" s="74"/>
      <c r="CK439" s="74"/>
      <c r="CL439" s="74"/>
      <c r="CM439" s="74"/>
      <c r="CN439" s="74"/>
      <c r="CO439" s="74"/>
      <c r="CP439" s="74"/>
      <c r="CQ439" s="74"/>
      <c r="CR439" s="74"/>
      <c r="CS439" s="74"/>
      <c r="CT439" s="74"/>
      <c r="CU439" s="74"/>
      <c r="CV439" s="74"/>
      <c r="CW439" s="74"/>
      <c r="CX439" s="74"/>
      <c r="CY439" s="74"/>
      <c r="CZ439" s="74"/>
      <c r="DA439" s="74"/>
      <c r="DB439" s="74"/>
      <c r="DC439" s="74"/>
    </row>
    <row r="440" spans="15:107" customFormat="1" x14ac:dyDescent="0.35">
      <c r="O440" s="76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74"/>
      <c r="BM440" s="74"/>
      <c r="BN440" s="74"/>
      <c r="BO440" s="74"/>
      <c r="BP440" s="74"/>
      <c r="BQ440" s="74"/>
      <c r="BR440" s="74"/>
      <c r="BS440" s="74"/>
      <c r="BT440" s="74"/>
      <c r="BU440" s="74"/>
      <c r="BV440" s="74"/>
      <c r="BW440" s="74"/>
      <c r="BX440" s="74"/>
      <c r="BY440" s="74"/>
      <c r="BZ440" s="74"/>
      <c r="CA440" s="74"/>
      <c r="CB440" s="74"/>
      <c r="CC440" s="74"/>
      <c r="CD440" s="74"/>
      <c r="CE440" s="74"/>
      <c r="CF440" s="74"/>
      <c r="CG440" s="74"/>
      <c r="CH440" s="74"/>
      <c r="CI440" s="74"/>
      <c r="CJ440" s="74"/>
      <c r="CK440" s="74"/>
      <c r="CL440" s="74"/>
      <c r="CM440" s="74"/>
      <c r="CN440" s="74"/>
      <c r="CO440" s="74"/>
      <c r="CP440" s="74"/>
      <c r="CQ440" s="74"/>
      <c r="CR440" s="74"/>
      <c r="CS440" s="74"/>
      <c r="CT440" s="74"/>
      <c r="CU440" s="74"/>
      <c r="CV440" s="74"/>
      <c r="CW440" s="74"/>
      <c r="CX440" s="74"/>
      <c r="CY440" s="74"/>
      <c r="CZ440" s="74"/>
      <c r="DA440" s="74"/>
      <c r="DB440" s="74"/>
      <c r="DC440" s="74"/>
    </row>
    <row r="441" spans="15:107" customFormat="1" x14ac:dyDescent="0.35">
      <c r="O441" s="76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74"/>
      <c r="BE441" s="74"/>
      <c r="BF441" s="74"/>
      <c r="BG441" s="74"/>
      <c r="BH441" s="74"/>
      <c r="BI441" s="74"/>
      <c r="BJ441" s="74"/>
      <c r="BK441" s="74"/>
      <c r="BL441" s="74"/>
      <c r="BM441" s="74"/>
      <c r="BN441" s="74"/>
      <c r="BO441" s="74"/>
      <c r="BP441" s="74"/>
      <c r="BQ441" s="74"/>
      <c r="BR441" s="74"/>
      <c r="BS441" s="74"/>
      <c r="BT441" s="74"/>
      <c r="BU441" s="74"/>
      <c r="BV441" s="74"/>
      <c r="BW441" s="74"/>
      <c r="BX441" s="74"/>
      <c r="BY441" s="74"/>
      <c r="BZ441" s="74"/>
      <c r="CA441" s="74"/>
      <c r="CB441" s="74"/>
      <c r="CC441" s="74"/>
      <c r="CD441" s="74"/>
      <c r="CE441" s="74"/>
      <c r="CF441" s="74"/>
      <c r="CG441" s="74"/>
      <c r="CH441" s="74"/>
      <c r="CI441" s="74"/>
      <c r="CJ441" s="74"/>
      <c r="CK441" s="74"/>
      <c r="CL441" s="74"/>
      <c r="CM441" s="74"/>
      <c r="CN441" s="74"/>
      <c r="CO441" s="74"/>
      <c r="CP441" s="74"/>
      <c r="CQ441" s="74"/>
      <c r="CR441" s="74"/>
      <c r="CS441" s="74"/>
      <c r="CT441" s="74"/>
      <c r="CU441" s="74"/>
      <c r="CV441" s="74"/>
      <c r="CW441" s="74"/>
      <c r="CX441" s="74"/>
      <c r="CY441" s="74"/>
      <c r="CZ441" s="74"/>
      <c r="DA441" s="74"/>
      <c r="DB441" s="74"/>
      <c r="DC441" s="74"/>
    </row>
    <row r="442" spans="15:107" customFormat="1" x14ac:dyDescent="0.35">
      <c r="O442" s="76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  <c r="BA442" s="74"/>
      <c r="BB442" s="74"/>
      <c r="BC442" s="74"/>
      <c r="BD442" s="74"/>
      <c r="BE442" s="74"/>
      <c r="BF442" s="74"/>
      <c r="BG442" s="74"/>
      <c r="BH442" s="74"/>
      <c r="BI442" s="74"/>
      <c r="BJ442" s="74"/>
      <c r="BK442" s="74"/>
      <c r="BL442" s="74"/>
      <c r="BM442" s="74"/>
      <c r="BN442" s="74"/>
      <c r="BO442" s="74"/>
      <c r="BP442" s="74"/>
      <c r="BQ442" s="74"/>
      <c r="BR442" s="74"/>
      <c r="BS442" s="74"/>
      <c r="BT442" s="74"/>
      <c r="BU442" s="74"/>
      <c r="BV442" s="74"/>
      <c r="BW442" s="74"/>
      <c r="BX442" s="74"/>
      <c r="BY442" s="74"/>
      <c r="BZ442" s="74"/>
      <c r="CA442" s="74"/>
      <c r="CB442" s="74"/>
      <c r="CC442" s="74"/>
      <c r="CD442" s="74"/>
      <c r="CE442" s="74"/>
      <c r="CF442" s="74"/>
      <c r="CG442" s="74"/>
      <c r="CH442" s="74"/>
      <c r="CI442" s="74"/>
      <c r="CJ442" s="74"/>
      <c r="CK442" s="74"/>
      <c r="CL442" s="74"/>
      <c r="CM442" s="74"/>
      <c r="CN442" s="74"/>
      <c r="CO442" s="74"/>
      <c r="CP442" s="74"/>
      <c r="CQ442" s="74"/>
      <c r="CR442" s="74"/>
      <c r="CS442" s="74"/>
      <c r="CT442" s="74"/>
      <c r="CU442" s="74"/>
      <c r="CV442" s="74"/>
      <c r="CW442" s="74"/>
      <c r="CX442" s="74"/>
      <c r="CY442" s="74"/>
      <c r="CZ442" s="74"/>
      <c r="DA442" s="74"/>
      <c r="DB442" s="74"/>
      <c r="DC442" s="74"/>
    </row>
    <row r="443" spans="15:107" customFormat="1" x14ac:dyDescent="0.35">
      <c r="O443" s="76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  <c r="AZ443" s="74"/>
      <c r="BA443" s="74"/>
      <c r="BB443" s="74"/>
      <c r="BC443" s="74"/>
      <c r="BD443" s="74"/>
      <c r="BE443" s="74"/>
      <c r="BF443" s="74"/>
      <c r="BG443" s="74"/>
      <c r="BH443" s="74"/>
      <c r="BI443" s="74"/>
      <c r="BJ443" s="74"/>
      <c r="BK443" s="74"/>
      <c r="BL443" s="74"/>
      <c r="BM443" s="74"/>
      <c r="BN443" s="74"/>
      <c r="BO443" s="74"/>
      <c r="BP443" s="74"/>
      <c r="BQ443" s="74"/>
      <c r="BR443" s="74"/>
      <c r="BS443" s="74"/>
      <c r="BT443" s="74"/>
      <c r="BU443" s="74"/>
      <c r="BV443" s="74"/>
      <c r="BW443" s="74"/>
      <c r="BX443" s="74"/>
      <c r="BY443" s="74"/>
      <c r="BZ443" s="74"/>
      <c r="CA443" s="74"/>
      <c r="CB443" s="74"/>
      <c r="CC443" s="74"/>
      <c r="CD443" s="74"/>
      <c r="CE443" s="74"/>
      <c r="CF443" s="74"/>
      <c r="CG443" s="74"/>
      <c r="CH443" s="74"/>
      <c r="CI443" s="74"/>
      <c r="CJ443" s="74"/>
      <c r="CK443" s="74"/>
      <c r="CL443" s="74"/>
      <c r="CM443" s="74"/>
      <c r="CN443" s="74"/>
      <c r="CO443" s="74"/>
      <c r="CP443" s="74"/>
      <c r="CQ443" s="74"/>
      <c r="CR443" s="74"/>
      <c r="CS443" s="74"/>
      <c r="CT443" s="74"/>
      <c r="CU443" s="74"/>
      <c r="CV443" s="74"/>
      <c r="CW443" s="74"/>
      <c r="CX443" s="74"/>
      <c r="CY443" s="74"/>
      <c r="CZ443" s="74"/>
      <c r="DA443" s="74"/>
      <c r="DB443" s="74"/>
      <c r="DC443" s="74"/>
    </row>
    <row r="444" spans="15:107" customFormat="1" x14ac:dyDescent="0.35">
      <c r="O444" s="76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  <c r="AZ444" s="74"/>
      <c r="BA444" s="74"/>
      <c r="BB444" s="74"/>
      <c r="BC444" s="74"/>
      <c r="BD444" s="74"/>
      <c r="BE444" s="74"/>
      <c r="BF444" s="74"/>
      <c r="BG444" s="74"/>
      <c r="BH444" s="74"/>
      <c r="BI444" s="74"/>
      <c r="BJ444" s="74"/>
      <c r="BK444" s="74"/>
      <c r="BL444" s="74"/>
      <c r="BM444" s="74"/>
      <c r="BN444" s="74"/>
      <c r="BO444" s="74"/>
      <c r="BP444" s="74"/>
      <c r="BQ444" s="74"/>
      <c r="BR444" s="74"/>
      <c r="BS444" s="74"/>
      <c r="BT444" s="74"/>
      <c r="BU444" s="74"/>
      <c r="BV444" s="74"/>
      <c r="BW444" s="74"/>
      <c r="BX444" s="74"/>
      <c r="BY444" s="74"/>
      <c r="BZ444" s="74"/>
      <c r="CA444" s="74"/>
      <c r="CB444" s="74"/>
      <c r="CC444" s="74"/>
      <c r="CD444" s="74"/>
      <c r="CE444" s="74"/>
      <c r="CF444" s="74"/>
      <c r="CG444" s="74"/>
      <c r="CH444" s="74"/>
      <c r="CI444" s="74"/>
      <c r="CJ444" s="74"/>
      <c r="CK444" s="74"/>
      <c r="CL444" s="74"/>
      <c r="CM444" s="74"/>
      <c r="CN444" s="74"/>
      <c r="CO444" s="74"/>
      <c r="CP444" s="74"/>
      <c r="CQ444" s="74"/>
      <c r="CR444" s="74"/>
      <c r="CS444" s="74"/>
      <c r="CT444" s="74"/>
      <c r="CU444" s="74"/>
      <c r="CV444" s="74"/>
      <c r="CW444" s="74"/>
      <c r="CX444" s="74"/>
      <c r="CY444" s="74"/>
      <c r="CZ444" s="74"/>
      <c r="DA444" s="74"/>
      <c r="DB444" s="74"/>
      <c r="DC444" s="74"/>
    </row>
    <row r="445" spans="15:107" customFormat="1" x14ac:dyDescent="0.35">
      <c r="O445" s="76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  <c r="BA445" s="74"/>
      <c r="BB445" s="74"/>
      <c r="BC445" s="74"/>
      <c r="BD445" s="74"/>
      <c r="BE445" s="74"/>
      <c r="BF445" s="74"/>
      <c r="BG445" s="74"/>
      <c r="BH445" s="74"/>
      <c r="BI445" s="74"/>
      <c r="BJ445" s="74"/>
      <c r="BK445" s="74"/>
      <c r="BL445" s="74"/>
      <c r="BM445" s="74"/>
      <c r="BN445" s="74"/>
      <c r="BO445" s="74"/>
      <c r="BP445" s="74"/>
      <c r="BQ445" s="74"/>
      <c r="BR445" s="74"/>
      <c r="BS445" s="74"/>
      <c r="BT445" s="74"/>
      <c r="BU445" s="74"/>
      <c r="BV445" s="74"/>
      <c r="BW445" s="74"/>
      <c r="BX445" s="74"/>
      <c r="BY445" s="74"/>
      <c r="BZ445" s="74"/>
      <c r="CA445" s="74"/>
      <c r="CB445" s="74"/>
      <c r="CC445" s="74"/>
      <c r="CD445" s="74"/>
      <c r="CE445" s="74"/>
      <c r="CF445" s="74"/>
      <c r="CG445" s="74"/>
      <c r="CH445" s="74"/>
      <c r="CI445" s="74"/>
      <c r="CJ445" s="74"/>
      <c r="CK445" s="74"/>
      <c r="CL445" s="74"/>
      <c r="CM445" s="74"/>
      <c r="CN445" s="74"/>
      <c r="CO445" s="74"/>
      <c r="CP445" s="74"/>
      <c r="CQ445" s="74"/>
      <c r="CR445" s="74"/>
      <c r="CS445" s="74"/>
      <c r="CT445" s="74"/>
      <c r="CU445" s="74"/>
      <c r="CV445" s="74"/>
      <c r="CW445" s="74"/>
      <c r="CX445" s="74"/>
      <c r="CY445" s="74"/>
      <c r="CZ445" s="74"/>
      <c r="DA445" s="74"/>
      <c r="DB445" s="74"/>
      <c r="DC445" s="74"/>
    </row>
    <row r="446" spans="15:107" customFormat="1" x14ac:dyDescent="0.35">
      <c r="O446" s="76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74"/>
      <c r="BJ446" s="74"/>
      <c r="BK446" s="74"/>
      <c r="BL446" s="74"/>
      <c r="BM446" s="74"/>
      <c r="BN446" s="74"/>
      <c r="BO446" s="74"/>
      <c r="BP446" s="74"/>
      <c r="BQ446" s="74"/>
      <c r="BR446" s="74"/>
      <c r="BS446" s="74"/>
      <c r="BT446" s="74"/>
      <c r="BU446" s="74"/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4"/>
      <c r="CH446" s="74"/>
      <c r="CI446" s="74"/>
      <c r="CJ446" s="74"/>
      <c r="CK446" s="74"/>
      <c r="CL446" s="74"/>
      <c r="CM446" s="74"/>
      <c r="CN446" s="74"/>
      <c r="CO446" s="74"/>
      <c r="CP446" s="74"/>
      <c r="CQ446" s="74"/>
      <c r="CR446" s="74"/>
      <c r="CS446" s="74"/>
      <c r="CT446" s="74"/>
      <c r="CU446" s="74"/>
      <c r="CV446" s="74"/>
      <c r="CW446" s="74"/>
      <c r="CX446" s="74"/>
      <c r="CY446" s="74"/>
      <c r="CZ446" s="74"/>
      <c r="DA446" s="74"/>
      <c r="DB446" s="74"/>
      <c r="DC446" s="74"/>
    </row>
    <row r="447" spans="15:107" customFormat="1" x14ac:dyDescent="0.35">
      <c r="O447" s="76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74"/>
      <c r="BJ447" s="74"/>
      <c r="BK447" s="74"/>
      <c r="BL447" s="74"/>
      <c r="BM447" s="74"/>
      <c r="BN447" s="74"/>
      <c r="BO447" s="74"/>
      <c r="BP447" s="74"/>
      <c r="BQ447" s="74"/>
      <c r="BR447" s="74"/>
      <c r="BS447" s="74"/>
      <c r="BT447" s="74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4"/>
      <c r="CH447" s="74"/>
      <c r="CI447" s="74"/>
      <c r="CJ447" s="74"/>
      <c r="CK447" s="74"/>
      <c r="CL447" s="74"/>
      <c r="CM447" s="74"/>
      <c r="CN447" s="74"/>
      <c r="CO447" s="74"/>
      <c r="CP447" s="74"/>
      <c r="CQ447" s="74"/>
      <c r="CR447" s="74"/>
      <c r="CS447" s="74"/>
      <c r="CT447" s="74"/>
      <c r="CU447" s="74"/>
      <c r="CV447" s="74"/>
      <c r="CW447" s="74"/>
      <c r="CX447" s="74"/>
      <c r="CY447" s="74"/>
      <c r="CZ447" s="74"/>
      <c r="DA447" s="74"/>
      <c r="DB447" s="74"/>
      <c r="DC447" s="74"/>
    </row>
    <row r="448" spans="15:107" customFormat="1" x14ac:dyDescent="0.35">
      <c r="O448" s="76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  <c r="AZ448" s="74"/>
      <c r="BA448" s="74"/>
      <c r="BB448" s="74"/>
      <c r="BC448" s="74"/>
      <c r="BD448" s="74"/>
      <c r="BE448" s="74"/>
      <c r="BF448" s="74"/>
      <c r="BG448" s="74"/>
      <c r="BH448" s="74"/>
      <c r="BI448" s="74"/>
      <c r="BJ448" s="74"/>
      <c r="BK448" s="74"/>
      <c r="BL448" s="74"/>
      <c r="BM448" s="74"/>
      <c r="BN448" s="74"/>
      <c r="BO448" s="74"/>
      <c r="BP448" s="74"/>
      <c r="BQ448" s="74"/>
      <c r="BR448" s="74"/>
      <c r="BS448" s="74"/>
      <c r="BT448" s="74"/>
      <c r="BU448" s="74"/>
      <c r="BV448" s="74"/>
      <c r="BW448" s="74"/>
      <c r="BX448" s="74"/>
      <c r="BY448" s="74"/>
      <c r="BZ448" s="74"/>
      <c r="CA448" s="74"/>
      <c r="CB448" s="74"/>
      <c r="CC448" s="74"/>
      <c r="CD448" s="74"/>
      <c r="CE448" s="74"/>
      <c r="CF448" s="74"/>
      <c r="CG448" s="74"/>
      <c r="CH448" s="74"/>
      <c r="CI448" s="74"/>
      <c r="CJ448" s="74"/>
      <c r="CK448" s="74"/>
      <c r="CL448" s="74"/>
      <c r="CM448" s="74"/>
      <c r="CN448" s="74"/>
      <c r="CO448" s="74"/>
      <c r="CP448" s="74"/>
      <c r="CQ448" s="74"/>
      <c r="CR448" s="74"/>
      <c r="CS448" s="74"/>
      <c r="CT448" s="74"/>
      <c r="CU448" s="74"/>
      <c r="CV448" s="74"/>
      <c r="CW448" s="74"/>
      <c r="CX448" s="74"/>
      <c r="CY448" s="74"/>
      <c r="CZ448" s="74"/>
      <c r="DA448" s="74"/>
      <c r="DB448" s="74"/>
      <c r="DC448" s="74"/>
    </row>
    <row r="449" spans="15:107" customFormat="1" x14ac:dyDescent="0.35">
      <c r="O449" s="76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  <c r="AX449" s="74"/>
      <c r="AY449" s="74"/>
      <c r="AZ449" s="74"/>
      <c r="BA449" s="74"/>
      <c r="BB449" s="74"/>
      <c r="BC449" s="74"/>
      <c r="BD449" s="74"/>
      <c r="BE449" s="74"/>
      <c r="BF449" s="74"/>
      <c r="BG449" s="74"/>
      <c r="BH449" s="74"/>
      <c r="BI449" s="74"/>
      <c r="BJ449" s="74"/>
      <c r="BK449" s="74"/>
      <c r="BL449" s="74"/>
      <c r="BM449" s="74"/>
      <c r="BN449" s="74"/>
      <c r="BO449" s="74"/>
      <c r="BP449" s="74"/>
      <c r="BQ449" s="74"/>
      <c r="BR449" s="74"/>
      <c r="BS449" s="74"/>
      <c r="BT449" s="74"/>
      <c r="BU449" s="74"/>
      <c r="BV449" s="74"/>
      <c r="BW449" s="74"/>
      <c r="BX449" s="74"/>
      <c r="BY449" s="74"/>
      <c r="BZ449" s="74"/>
      <c r="CA449" s="74"/>
      <c r="CB449" s="74"/>
      <c r="CC449" s="74"/>
      <c r="CD449" s="74"/>
      <c r="CE449" s="74"/>
      <c r="CF449" s="74"/>
      <c r="CG449" s="74"/>
      <c r="CH449" s="74"/>
      <c r="CI449" s="74"/>
      <c r="CJ449" s="74"/>
      <c r="CK449" s="74"/>
      <c r="CL449" s="74"/>
      <c r="CM449" s="74"/>
      <c r="CN449" s="74"/>
      <c r="CO449" s="74"/>
      <c r="CP449" s="74"/>
      <c r="CQ449" s="74"/>
      <c r="CR449" s="74"/>
      <c r="CS449" s="74"/>
      <c r="CT449" s="74"/>
      <c r="CU449" s="74"/>
      <c r="CV449" s="74"/>
      <c r="CW449" s="74"/>
      <c r="CX449" s="74"/>
      <c r="CY449" s="74"/>
      <c r="CZ449" s="74"/>
      <c r="DA449" s="74"/>
      <c r="DB449" s="74"/>
      <c r="DC449" s="74"/>
    </row>
    <row r="450" spans="15:107" customFormat="1" x14ac:dyDescent="0.35">
      <c r="O450" s="76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4"/>
      <c r="CH450" s="74"/>
      <c r="CI450" s="74"/>
      <c r="CJ450" s="74"/>
      <c r="CK450" s="74"/>
      <c r="CL450" s="74"/>
      <c r="CM450" s="74"/>
      <c r="CN450" s="74"/>
      <c r="CO450" s="74"/>
      <c r="CP450" s="74"/>
      <c r="CQ450" s="74"/>
      <c r="CR450" s="74"/>
      <c r="CS450" s="74"/>
      <c r="CT450" s="74"/>
      <c r="CU450" s="74"/>
      <c r="CV450" s="74"/>
      <c r="CW450" s="74"/>
      <c r="CX450" s="74"/>
      <c r="CY450" s="74"/>
      <c r="CZ450" s="74"/>
      <c r="DA450" s="74"/>
      <c r="DB450" s="74"/>
      <c r="DC450" s="74"/>
    </row>
    <row r="451" spans="15:107" customFormat="1" x14ac:dyDescent="0.35">
      <c r="O451" s="76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4"/>
      <c r="CH451" s="74"/>
      <c r="CI451" s="74"/>
      <c r="CJ451" s="74"/>
      <c r="CK451" s="74"/>
      <c r="CL451" s="74"/>
      <c r="CM451" s="74"/>
      <c r="CN451" s="74"/>
      <c r="CO451" s="74"/>
      <c r="CP451" s="74"/>
      <c r="CQ451" s="74"/>
      <c r="CR451" s="74"/>
      <c r="CS451" s="74"/>
      <c r="CT451" s="74"/>
      <c r="CU451" s="74"/>
      <c r="CV451" s="74"/>
      <c r="CW451" s="74"/>
      <c r="CX451" s="74"/>
      <c r="CY451" s="74"/>
      <c r="CZ451" s="74"/>
      <c r="DA451" s="74"/>
      <c r="DB451" s="74"/>
      <c r="DC451" s="74"/>
    </row>
    <row r="452" spans="15:107" customFormat="1" x14ac:dyDescent="0.35">
      <c r="O452" s="76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4"/>
      <c r="CH452" s="74"/>
      <c r="CI452" s="74"/>
      <c r="CJ452" s="74"/>
      <c r="CK452" s="74"/>
      <c r="CL452" s="74"/>
      <c r="CM452" s="74"/>
      <c r="CN452" s="74"/>
      <c r="CO452" s="74"/>
      <c r="CP452" s="74"/>
      <c r="CQ452" s="74"/>
      <c r="CR452" s="74"/>
      <c r="CS452" s="74"/>
      <c r="CT452" s="74"/>
      <c r="CU452" s="74"/>
      <c r="CV452" s="74"/>
      <c r="CW452" s="74"/>
      <c r="CX452" s="74"/>
      <c r="CY452" s="74"/>
      <c r="CZ452" s="74"/>
      <c r="DA452" s="74"/>
      <c r="DB452" s="74"/>
      <c r="DC452" s="74"/>
    </row>
    <row r="453" spans="15:107" customFormat="1" x14ac:dyDescent="0.35">
      <c r="O453" s="76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74"/>
      <c r="BU453" s="74"/>
      <c r="BV453" s="74"/>
      <c r="BW453" s="74"/>
      <c r="BX453" s="74"/>
      <c r="BY453" s="74"/>
      <c r="BZ453" s="74"/>
      <c r="CA453" s="74"/>
      <c r="CB453" s="74"/>
      <c r="CC453" s="74"/>
      <c r="CD453" s="74"/>
      <c r="CE453" s="74"/>
      <c r="CF453" s="74"/>
      <c r="CG453" s="74"/>
      <c r="CH453" s="74"/>
      <c r="CI453" s="74"/>
      <c r="CJ453" s="74"/>
      <c r="CK453" s="74"/>
      <c r="CL453" s="74"/>
      <c r="CM453" s="74"/>
      <c r="CN453" s="74"/>
      <c r="CO453" s="74"/>
      <c r="CP453" s="74"/>
      <c r="CQ453" s="74"/>
      <c r="CR453" s="74"/>
      <c r="CS453" s="74"/>
      <c r="CT453" s="74"/>
      <c r="CU453" s="74"/>
      <c r="CV453" s="74"/>
      <c r="CW453" s="74"/>
      <c r="CX453" s="74"/>
      <c r="CY453" s="74"/>
      <c r="CZ453" s="74"/>
      <c r="DA453" s="74"/>
      <c r="DB453" s="74"/>
      <c r="DC453" s="74"/>
    </row>
    <row r="454" spans="15:107" customFormat="1" x14ac:dyDescent="0.35">
      <c r="O454" s="76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  <c r="BY454" s="74"/>
      <c r="BZ454" s="74"/>
      <c r="CA454" s="74"/>
      <c r="CB454" s="74"/>
      <c r="CC454" s="74"/>
      <c r="CD454" s="74"/>
      <c r="CE454" s="74"/>
      <c r="CF454" s="74"/>
      <c r="CG454" s="74"/>
      <c r="CH454" s="74"/>
      <c r="CI454" s="74"/>
      <c r="CJ454" s="74"/>
      <c r="CK454" s="74"/>
      <c r="CL454" s="74"/>
      <c r="CM454" s="74"/>
      <c r="CN454" s="74"/>
      <c r="CO454" s="74"/>
      <c r="CP454" s="74"/>
      <c r="CQ454" s="74"/>
      <c r="CR454" s="74"/>
      <c r="CS454" s="74"/>
      <c r="CT454" s="74"/>
      <c r="CU454" s="74"/>
      <c r="CV454" s="74"/>
      <c r="CW454" s="74"/>
      <c r="CX454" s="74"/>
      <c r="CY454" s="74"/>
      <c r="CZ454" s="74"/>
      <c r="DA454" s="74"/>
      <c r="DB454" s="74"/>
      <c r="DC454" s="74"/>
    </row>
    <row r="455" spans="15:107" customFormat="1" x14ac:dyDescent="0.35">
      <c r="O455" s="76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  <c r="CD455" s="74"/>
      <c r="CE455" s="74"/>
      <c r="CF455" s="74"/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74"/>
      <c r="CR455" s="74"/>
      <c r="CS455" s="74"/>
      <c r="CT455" s="74"/>
      <c r="CU455" s="74"/>
      <c r="CV455" s="74"/>
      <c r="CW455" s="74"/>
      <c r="CX455" s="74"/>
      <c r="CY455" s="74"/>
      <c r="CZ455" s="74"/>
      <c r="DA455" s="74"/>
      <c r="DB455" s="74"/>
      <c r="DC455" s="74"/>
    </row>
    <row r="456" spans="15:107" customFormat="1" x14ac:dyDescent="0.35">
      <c r="O456" s="76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  <c r="BY456" s="74"/>
      <c r="BZ456" s="74"/>
      <c r="CA456" s="74"/>
      <c r="CB456" s="74"/>
      <c r="CC456" s="74"/>
      <c r="CD456" s="74"/>
      <c r="CE456" s="74"/>
      <c r="CF456" s="74"/>
      <c r="CG456" s="74"/>
      <c r="CH456" s="74"/>
      <c r="CI456" s="74"/>
      <c r="CJ456" s="74"/>
      <c r="CK456" s="74"/>
      <c r="CL456" s="74"/>
      <c r="CM456" s="74"/>
      <c r="CN456" s="74"/>
      <c r="CO456" s="74"/>
      <c r="CP456" s="74"/>
      <c r="CQ456" s="74"/>
      <c r="CR456" s="74"/>
      <c r="CS456" s="74"/>
      <c r="CT456" s="74"/>
      <c r="CU456" s="74"/>
      <c r="CV456" s="74"/>
      <c r="CW456" s="74"/>
      <c r="CX456" s="74"/>
      <c r="CY456" s="74"/>
      <c r="CZ456" s="74"/>
      <c r="DA456" s="74"/>
      <c r="DB456" s="74"/>
      <c r="DC456" s="74"/>
    </row>
    <row r="457" spans="15:107" customFormat="1" x14ac:dyDescent="0.35">
      <c r="O457" s="76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  <c r="CD457" s="74"/>
      <c r="CE457" s="74"/>
      <c r="CF457" s="74"/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74"/>
      <c r="CR457" s="74"/>
      <c r="CS457" s="74"/>
      <c r="CT457" s="74"/>
      <c r="CU457" s="74"/>
      <c r="CV457" s="74"/>
      <c r="CW457" s="74"/>
      <c r="CX457" s="74"/>
      <c r="CY457" s="74"/>
      <c r="CZ457" s="74"/>
      <c r="DA457" s="74"/>
      <c r="DB457" s="74"/>
      <c r="DC457" s="74"/>
    </row>
    <row r="458" spans="15:107" customFormat="1" x14ac:dyDescent="0.35">
      <c r="O458" s="76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4"/>
      <c r="CH458" s="74"/>
      <c r="CI458" s="74"/>
      <c r="CJ458" s="74"/>
      <c r="CK458" s="74"/>
      <c r="CL458" s="74"/>
      <c r="CM458" s="74"/>
      <c r="CN458" s="74"/>
      <c r="CO458" s="74"/>
      <c r="CP458" s="74"/>
      <c r="CQ458" s="74"/>
      <c r="CR458" s="74"/>
      <c r="CS458" s="74"/>
      <c r="CT458" s="74"/>
      <c r="CU458" s="74"/>
      <c r="CV458" s="74"/>
      <c r="CW458" s="74"/>
      <c r="CX458" s="74"/>
      <c r="CY458" s="74"/>
      <c r="CZ458" s="74"/>
      <c r="DA458" s="74"/>
      <c r="DB458" s="74"/>
      <c r="DC458" s="74"/>
    </row>
    <row r="459" spans="15:107" customFormat="1" x14ac:dyDescent="0.35">
      <c r="O459" s="76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4"/>
      <c r="CH459" s="74"/>
      <c r="CI459" s="74"/>
      <c r="CJ459" s="74"/>
      <c r="CK459" s="74"/>
      <c r="CL459" s="74"/>
      <c r="CM459" s="74"/>
      <c r="CN459" s="74"/>
      <c r="CO459" s="74"/>
      <c r="CP459" s="74"/>
      <c r="CQ459" s="74"/>
      <c r="CR459" s="74"/>
      <c r="CS459" s="74"/>
      <c r="CT459" s="74"/>
      <c r="CU459" s="74"/>
      <c r="CV459" s="74"/>
      <c r="CW459" s="74"/>
      <c r="CX459" s="74"/>
      <c r="CY459" s="74"/>
      <c r="CZ459" s="74"/>
      <c r="DA459" s="74"/>
      <c r="DB459" s="74"/>
      <c r="DC459" s="74"/>
    </row>
    <row r="460" spans="15:107" customFormat="1" x14ac:dyDescent="0.35">
      <c r="O460" s="76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74"/>
      <c r="AT460" s="74"/>
      <c r="AU460" s="74"/>
      <c r="AV460" s="74"/>
      <c r="AW460" s="74"/>
      <c r="AX460" s="74"/>
      <c r="AY460" s="74"/>
      <c r="AZ460" s="74"/>
      <c r="BA460" s="74"/>
      <c r="BB460" s="74"/>
      <c r="BC460" s="74"/>
      <c r="BD460" s="74"/>
      <c r="BE460" s="74"/>
      <c r="BF460" s="74"/>
      <c r="BG460" s="74"/>
      <c r="BH460" s="74"/>
      <c r="BI460" s="74"/>
      <c r="BJ460" s="74"/>
      <c r="BK460" s="74"/>
      <c r="BL460" s="74"/>
      <c r="BM460" s="74"/>
      <c r="BN460" s="74"/>
      <c r="BO460" s="74"/>
      <c r="BP460" s="74"/>
      <c r="BQ460" s="74"/>
      <c r="BR460" s="74"/>
      <c r="BS460" s="74"/>
      <c r="BT460" s="74"/>
      <c r="BU460" s="74"/>
      <c r="BV460" s="74"/>
      <c r="BW460" s="74"/>
      <c r="BX460" s="74"/>
      <c r="BY460" s="74"/>
      <c r="BZ460" s="74"/>
      <c r="CA460" s="74"/>
      <c r="CB460" s="74"/>
      <c r="CC460" s="74"/>
      <c r="CD460" s="74"/>
      <c r="CE460" s="74"/>
      <c r="CF460" s="74"/>
      <c r="CG460" s="74"/>
      <c r="CH460" s="74"/>
      <c r="CI460" s="74"/>
      <c r="CJ460" s="74"/>
      <c r="CK460" s="74"/>
      <c r="CL460" s="74"/>
      <c r="CM460" s="74"/>
      <c r="CN460" s="74"/>
      <c r="CO460" s="74"/>
      <c r="CP460" s="74"/>
      <c r="CQ460" s="74"/>
      <c r="CR460" s="74"/>
      <c r="CS460" s="74"/>
      <c r="CT460" s="74"/>
      <c r="CU460" s="74"/>
      <c r="CV460" s="74"/>
      <c r="CW460" s="74"/>
      <c r="CX460" s="74"/>
      <c r="CY460" s="74"/>
      <c r="CZ460" s="74"/>
      <c r="DA460" s="74"/>
      <c r="DB460" s="74"/>
      <c r="DC460" s="74"/>
    </row>
    <row r="461" spans="15:107" customFormat="1" x14ac:dyDescent="0.35">
      <c r="O461" s="76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74"/>
      <c r="BD461" s="74"/>
      <c r="BE461" s="74"/>
      <c r="BF461" s="74"/>
      <c r="BG461" s="74"/>
      <c r="BH461" s="74"/>
      <c r="BI461" s="74"/>
      <c r="BJ461" s="74"/>
      <c r="BK461" s="74"/>
      <c r="BL461" s="74"/>
      <c r="BM461" s="74"/>
      <c r="BN461" s="74"/>
      <c r="BO461" s="74"/>
      <c r="BP461" s="74"/>
      <c r="BQ461" s="74"/>
      <c r="BR461" s="74"/>
      <c r="BS461" s="74"/>
      <c r="BT461" s="74"/>
      <c r="BU461" s="74"/>
      <c r="BV461" s="74"/>
      <c r="BW461" s="74"/>
      <c r="BX461" s="74"/>
      <c r="BY461" s="74"/>
      <c r="BZ461" s="74"/>
      <c r="CA461" s="74"/>
      <c r="CB461" s="74"/>
      <c r="CC461" s="74"/>
      <c r="CD461" s="74"/>
      <c r="CE461" s="74"/>
      <c r="CF461" s="74"/>
      <c r="CG461" s="74"/>
      <c r="CH461" s="74"/>
      <c r="CI461" s="74"/>
      <c r="CJ461" s="74"/>
      <c r="CK461" s="74"/>
      <c r="CL461" s="74"/>
      <c r="CM461" s="74"/>
      <c r="CN461" s="74"/>
      <c r="CO461" s="74"/>
      <c r="CP461" s="74"/>
      <c r="CQ461" s="74"/>
      <c r="CR461" s="74"/>
      <c r="CS461" s="74"/>
      <c r="CT461" s="74"/>
      <c r="CU461" s="74"/>
      <c r="CV461" s="74"/>
      <c r="CW461" s="74"/>
      <c r="CX461" s="74"/>
      <c r="CY461" s="74"/>
      <c r="CZ461" s="74"/>
      <c r="DA461" s="74"/>
      <c r="DB461" s="74"/>
      <c r="DC461" s="74"/>
    </row>
    <row r="462" spans="15:107" customFormat="1" x14ac:dyDescent="0.35">
      <c r="O462" s="76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  <c r="BA462" s="74"/>
      <c r="BB462" s="74"/>
      <c r="BC462" s="74"/>
      <c r="BD462" s="74"/>
      <c r="BE462" s="74"/>
      <c r="BF462" s="74"/>
      <c r="BG462" s="74"/>
      <c r="BH462" s="74"/>
      <c r="BI462" s="74"/>
      <c r="BJ462" s="74"/>
      <c r="BK462" s="74"/>
      <c r="BL462" s="74"/>
      <c r="BM462" s="74"/>
      <c r="BN462" s="74"/>
      <c r="BO462" s="74"/>
      <c r="BP462" s="74"/>
      <c r="BQ462" s="74"/>
      <c r="BR462" s="74"/>
      <c r="BS462" s="74"/>
      <c r="BT462" s="74"/>
      <c r="BU462" s="74"/>
      <c r="BV462" s="74"/>
      <c r="BW462" s="74"/>
      <c r="BX462" s="74"/>
      <c r="BY462" s="74"/>
      <c r="BZ462" s="74"/>
      <c r="CA462" s="74"/>
      <c r="CB462" s="74"/>
      <c r="CC462" s="74"/>
      <c r="CD462" s="74"/>
      <c r="CE462" s="74"/>
      <c r="CF462" s="74"/>
      <c r="CG462" s="74"/>
      <c r="CH462" s="74"/>
      <c r="CI462" s="74"/>
      <c r="CJ462" s="74"/>
      <c r="CK462" s="74"/>
      <c r="CL462" s="74"/>
      <c r="CM462" s="74"/>
      <c r="CN462" s="74"/>
      <c r="CO462" s="74"/>
      <c r="CP462" s="74"/>
      <c r="CQ462" s="74"/>
      <c r="CR462" s="74"/>
      <c r="CS462" s="74"/>
      <c r="CT462" s="74"/>
      <c r="CU462" s="74"/>
      <c r="CV462" s="74"/>
      <c r="CW462" s="74"/>
      <c r="CX462" s="74"/>
      <c r="CY462" s="74"/>
      <c r="CZ462" s="74"/>
      <c r="DA462" s="74"/>
      <c r="DB462" s="74"/>
      <c r="DC462" s="74"/>
    </row>
    <row r="463" spans="15:107" customFormat="1" x14ac:dyDescent="0.35">
      <c r="O463" s="76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74"/>
      <c r="AT463" s="74"/>
      <c r="AU463" s="74"/>
      <c r="AV463" s="74"/>
      <c r="AW463" s="74"/>
      <c r="AX463" s="74"/>
      <c r="AY463" s="74"/>
      <c r="AZ463" s="74"/>
      <c r="BA463" s="74"/>
      <c r="BB463" s="74"/>
      <c r="BC463" s="74"/>
      <c r="BD463" s="74"/>
      <c r="BE463" s="74"/>
      <c r="BF463" s="74"/>
      <c r="BG463" s="74"/>
      <c r="BH463" s="74"/>
      <c r="BI463" s="74"/>
      <c r="BJ463" s="74"/>
      <c r="BK463" s="74"/>
      <c r="BL463" s="74"/>
      <c r="BM463" s="74"/>
      <c r="BN463" s="74"/>
      <c r="BO463" s="74"/>
      <c r="BP463" s="74"/>
      <c r="BQ463" s="74"/>
      <c r="BR463" s="74"/>
      <c r="BS463" s="74"/>
      <c r="BT463" s="74"/>
      <c r="BU463" s="74"/>
      <c r="BV463" s="74"/>
      <c r="BW463" s="74"/>
      <c r="BX463" s="74"/>
      <c r="BY463" s="74"/>
      <c r="BZ463" s="74"/>
      <c r="CA463" s="74"/>
      <c r="CB463" s="74"/>
      <c r="CC463" s="74"/>
      <c r="CD463" s="74"/>
      <c r="CE463" s="74"/>
      <c r="CF463" s="74"/>
      <c r="CG463" s="74"/>
      <c r="CH463" s="74"/>
      <c r="CI463" s="74"/>
      <c r="CJ463" s="74"/>
      <c r="CK463" s="74"/>
      <c r="CL463" s="74"/>
      <c r="CM463" s="74"/>
      <c r="CN463" s="74"/>
      <c r="CO463" s="74"/>
      <c r="CP463" s="74"/>
      <c r="CQ463" s="74"/>
      <c r="CR463" s="74"/>
      <c r="CS463" s="74"/>
      <c r="CT463" s="74"/>
      <c r="CU463" s="74"/>
      <c r="CV463" s="74"/>
      <c r="CW463" s="74"/>
      <c r="CX463" s="74"/>
      <c r="CY463" s="74"/>
      <c r="CZ463" s="74"/>
      <c r="DA463" s="74"/>
      <c r="DB463" s="74"/>
      <c r="DC463" s="74"/>
    </row>
    <row r="464" spans="15:107" customFormat="1" x14ac:dyDescent="0.35">
      <c r="O464" s="76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74"/>
      <c r="AT464" s="74"/>
      <c r="AU464" s="74"/>
      <c r="AV464" s="74"/>
      <c r="AW464" s="74"/>
      <c r="AX464" s="74"/>
      <c r="AY464" s="74"/>
      <c r="AZ464" s="74"/>
      <c r="BA464" s="74"/>
      <c r="BB464" s="74"/>
      <c r="BC464" s="74"/>
      <c r="BD464" s="74"/>
      <c r="BE464" s="74"/>
      <c r="BF464" s="74"/>
      <c r="BG464" s="74"/>
      <c r="BH464" s="74"/>
      <c r="BI464" s="74"/>
      <c r="BJ464" s="74"/>
      <c r="BK464" s="74"/>
      <c r="BL464" s="74"/>
      <c r="BM464" s="74"/>
      <c r="BN464" s="74"/>
      <c r="BO464" s="74"/>
      <c r="BP464" s="74"/>
      <c r="BQ464" s="74"/>
      <c r="BR464" s="74"/>
      <c r="BS464" s="74"/>
      <c r="BT464" s="74"/>
      <c r="BU464" s="74"/>
      <c r="BV464" s="74"/>
      <c r="BW464" s="74"/>
      <c r="BX464" s="74"/>
      <c r="BY464" s="74"/>
      <c r="BZ464" s="74"/>
      <c r="CA464" s="74"/>
      <c r="CB464" s="74"/>
      <c r="CC464" s="74"/>
      <c r="CD464" s="74"/>
      <c r="CE464" s="74"/>
      <c r="CF464" s="74"/>
      <c r="CG464" s="74"/>
      <c r="CH464" s="74"/>
      <c r="CI464" s="74"/>
      <c r="CJ464" s="74"/>
      <c r="CK464" s="74"/>
      <c r="CL464" s="74"/>
      <c r="CM464" s="74"/>
      <c r="CN464" s="74"/>
      <c r="CO464" s="74"/>
      <c r="CP464" s="74"/>
      <c r="CQ464" s="74"/>
      <c r="CR464" s="74"/>
      <c r="CS464" s="74"/>
      <c r="CT464" s="74"/>
      <c r="CU464" s="74"/>
      <c r="CV464" s="74"/>
      <c r="CW464" s="74"/>
      <c r="CX464" s="74"/>
      <c r="CY464" s="74"/>
      <c r="CZ464" s="74"/>
      <c r="DA464" s="74"/>
      <c r="DB464" s="74"/>
      <c r="DC464" s="74"/>
    </row>
    <row r="465" spans="15:107" customFormat="1" x14ac:dyDescent="0.35">
      <c r="O465" s="76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  <c r="BA465" s="74"/>
      <c r="BB465" s="74"/>
      <c r="BC465" s="74"/>
      <c r="BD465" s="74"/>
      <c r="BE465" s="74"/>
      <c r="BF465" s="74"/>
      <c r="BG465" s="74"/>
      <c r="BH465" s="74"/>
      <c r="BI465" s="74"/>
      <c r="BJ465" s="74"/>
      <c r="BK465" s="74"/>
      <c r="BL465" s="74"/>
      <c r="BM465" s="74"/>
      <c r="BN465" s="74"/>
      <c r="BO465" s="74"/>
      <c r="BP465" s="74"/>
      <c r="BQ465" s="74"/>
      <c r="BR465" s="74"/>
      <c r="BS465" s="74"/>
      <c r="BT465" s="74"/>
      <c r="BU465" s="74"/>
      <c r="BV465" s="74"/>
      <c r="BW465" s="74"/>
      <c r="BX465" s="74"/>
      <c r="BY465" s="74"/>
      <c r="BZ465" s="74"/>
      <c r="CA465" s="74"/>
      <c r="CB465" s="74"/>
      <c r="CC465" s="74"/>
      <c r="CD465" s="74"/>
      <c r="CE465" s="74"/>
      <c r="CF465" s="74"/>
      <c r="CG465" s="74"/>
      <c r="CH465" s="74"/>
      <c r="CI465" s="74"/>
      <c r="CJ465" s="74"/>
      <c r="CK465" s="74"/>
      <c r="CL465" s="74"/>
      <c r="CM465" s="74"/>
      <c r="CN465" s="74"/>
      <c r="CO465" s="74"/>
      <c r="CP465" s="74"/>
      <c r="CQ465" s="74"/>
      <c r="CR465" s="74"/>
      <c r="CS465" s="74"/>
      <c r="CT465" s="74"/>
      <c r="CU465" s="74"/>
      <c r="CV465" s="74"/>
      <c r="CW465" s="74"/>
      <c r="CX465" s="74"/>
      <c r="CY465" s="74"/>
      <c r="CZ465" s="74"/>
      <c r="DA465" s="74"/>
      <c r="DB465" s="74"/>
      <c r="DC465" s="74"/>
    </row>
    <row r="466" spans="15:107" customFormat="1" x14ac:dyDescent="0.35">
      <c r="O466" s="76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74"/>
      <c r="BD466" s="74"/>
      <c r="BE466" s="74"/>
      <c r="BF466" s="74"/>
      <c r="BG466" s="74"/>
      <c r="BH466" s="74"/>
      <c r="BI466" s="74"/>
      <c r="BJ466" s="74"/>
      <c r="BK466" s="74"/>
      <c r="BL466" s="74"/>
      <c r="BM466" s="74"/>
      <c r="BN466" s="74"/>
      <c r="BO466" s="74"/>
      <c r="BP466" s="74"/>
      <c r="BQ466" s="74"/>
      <c r="BR466" s="74"/>
      <c r="BS466" s="74"/>
      <c r="BT466" s="74"/>
      <c r="BU466" s="74"/>
      <c r="BV466" s="74"/>
      <c r="BW466" s="74"/>
      <c r="BX466" s="74"/>
      <c r="BY466" s="74"/>
      <c r="BZ466" s="74"/>
      <c r="CA466" s="74"/>
      <c r="CB466" s="74"/>
      <c r="CC466" s="74"/>
      <c r="CD466" s="74"/>
      <c r="CE466" s="74"/>
      <c r="CF466" s="74"/>
      <c r="CG466" s="74"/>
      <c r="CH466" s="74"/>
      <c r="CI466" s="74"/>
      <c r="CJ466" s="74"/>
      <c r="CK466" s="74"/>
      <c r="CL466" s="74"/>
      <c r="CM466" s="74"/>
      <c r="CN466" s="74"/>
      <c r="CO466" s="74"/>
      <c r="CP466" s="74"/>
      <c r="CQ466" s="74"/>
      <c r="CR466" s="74"/>
      <c r="CS466" s="74"/>
      <c r="CT466" s="74"/>
      <c r="CU466" s="74"/>
      <c r="CV466" s="74"/>
      <c r="CW466" s="74"/>
      <c r="CX466" s="74"/>
      <c r="CY466" s="74"/>
      <c r="CZ466" s="74"/>
      <c r="DA466" s="74"/>
      <c r="DB466" s="74"/>
      <c r="DC466" s="74"/>
    </row>
    <row r="467" spans="15:107" customFormat="1" x14ac:dyDescent="0.35">
      <c r="O467" s="76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74"/>
      <c r="AT467" s="74"/>
      <c r="AU467" s="74"/>
      <c r="AV467" s="74"/>
      <c r="AW467" s="74"/>
      <c r="AX467" s="74"/>
      <c r="AY467" s="74"/>
      <c r="AZ467" s="74"/>
      <c r="BA467" s="74"/>
      <c r="BB467" s="74"/>
      <c r="BC467" s="74"/>
      <c r="BD467" s="74"/>
      <c r="BE467" s="74"/>
      <c r="BF467" s="74"/>
      <c r="BG467" s="74"/>
      <c r="BH467" s="74"/>
      <c r="BI467" s="74"/>
      <c r="BJ467" s="74"/>
      <c r="BK467" s="74"/>
      <c r="BL467" s="74"/>
      <c r="BM467" s="74"/>
      <c r="BN467" s="74"/>
      <c r="BO467" s="74"/>
      <c r="BP467" s="74"/>
      <c r="BQ467" s="74"/>
      <c r="BR467" s="74"/>
      <c r="BS467" s="74"/>
      <c r="BT467" s="74"/>
      <c r="BU467" s="74"/>
      <c r="BV467" s="74"/>
      <c r="BW467" s="74"/>
      <c r="BX467" s="74"/>
      <c r="BY467" s="74"/>
      <c r="BZ467" s="74"/>
      <c r="CA467" s="74"/>
      <c r="CB467" s="74"/>
      <c r="CC467" s="74"/>
      <c r="CD467" s="74"/>
      <c r="CE467" s="74"/>
      <c r="CF467" s="74"/>
      <c r="CG467" s="74"/>
      <c r="CH467" s="74"/>
      <c r="CI467" s="74"/>
      <c r="CJ467" s="74"/>
      <c r="CK467" s="74"/>
      <c r="CL467" s="74"/>
      <c r="CM467" s="74"/>
      <c r="CN467" s="74"/>
      <c r="CO467" s="74"/>
      <c r="CP467" s="74"/>
      <c r="CQ467" s="74"/>
      <c r="CR467" s="74"/>
      <c r="CS467" s="74"/>
      <c r="CT467" s="74"/>
      <c r="CU467" s="74"/>
      <c r="CV467" s="74"/>
      <c r="CW467" s="74"/>
      <c r="CX467" s="74"/>
      <c r="CY467" s="74"/>
      <c r="CZ467" s="74"/>
      <c r="DA467" s="74"/>
      <c r="DB467" s="74"/>
      <c r="DC467" s="74"/>
    </row>
    <row r="468" spans="15:107" customFormat="1" x14ac:dyDescent="0.35">
      <c r="O468" s="76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74"/>
      <c r="BE468" s="74"/>
      <c r="BF468" s="74"/>
      <c r="BG468" s="74"/>
      <c r="BH468" s="74"/>
      <c r="BI468" s="74"/>
      <c r="BJ468" s="74"/>
      <c r="BK468" s="74"/>
      <c r="BL468" s="74"/>
      <c r="BM468" s="74"/>
      <c r="BN468" s="74"/>
      <c r="BO468" s="74"/>
      <c r="BP468" s="74"/>
      <c r="BQ468" s="74"/>
      <c r="BR468" s="74"/>
      <c r="BS468" s="74"/>
      <c r="BT468" s="74"/>
      <c r="BU468" s="74"/>
      <c r="BV468" s="74"/>
      <c r="BW468" s="74"/>
      <c r="BX468" s="74"/>
      <c r="BY468" s="74"/>
      <c r="BZ468" s="74"/>
      <c r="CA468" s="74"/>
      <c r="CB468" s="74"/>
      <c r="CC468" s="74"/>
      <c r="CD468" s="74"/>
      <c r="CE468" s="74"/>
      <c r="CF468" s="74"/>
      <c r="CG468" s="74"/>
      <c r="CH468" s="74"/>
      <c r="CI468" s="74"/>
      <c r="CJ468" s="74"/>
      <c r="CK468" s="74"/>
      <c r="CL468" s="74"/>
      <c r="CM468" s="74"/>
      <c r="CN468" s="74"/>
      <c r="CO468" s="74"/>
      <c r="CP468" s="74"/>
      <c r="CQ468" s="74"/>
      <c r="CR468" s="74"/>
      <c r="CS468" s="74"/>
      <c r="CT468" s="74"/>
      <c r="CU468" s="74"/>
      <c r="CV468" s="74"/>
      <c r="CW468" s="74"/>
      <c r="CX468" s="74"/>
      <c r="CY468" s="74"/>
      <c r="CZ468" s="74"/>
      <c r="DA468" s="74"/>
      <c r="DB468" s="74"/>
      <c r="DC468" s="74"/>
    </row>
    <row r="469" spans="15:107" customFormat="1" x14ac:dyDescent="0.35">
      <c r="O469" s="76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74"/>
      <c r="BD469" s="74"/>
      <c r="BE469" s="74"/>
      <c r="BF469" s="74"/>
      <c r="BG469" s="74"/>
      <c r="BH469" s="74"/>
      <c r="BI469" s="74"/>
      <c r="BJ469" s="74"/>
      <c r="BK469" s="74"/>
      <c r="BL469" s="74"/>
      <c r="BM469" s="74"/>
      <c r="BN469" s="74"/>
      <c r="BO469" s="74"/>
      <c r="BP469" s="74"/>
      <c r="BQ469" s="74"/>
      <c r="BR469" s="74"/>
      <c r="BS469" s="74"/>
      <c r="BT469" s="74"/>
      <c r="BU469" s="74"/>
      <c r="BV469" s="74"/>
      <c r="BW469" s="74"/>
      <c r="BX469" s="74"/>
      <c r="BY469" s="74"/>
      <c r="BZ469" s="74"/>
      <c r="CA469" s="74"/>
      <c r="CB469" s="74"/>
      <c r="CC469" s="74"/>
      <c r="CD469" s="74"/>
      <c r="CE469" s="74"/>
      <c r="CF469" s="74"/>
      <c r="CG469" s="74"/>
      <c r="CH469" s="74"/>
      <c r="CI469" s="74"/>
      <c r="CJ469" s="74"/>
      <c r="CK469" s="74"/>
      <c r="CL469" s="74"/>
      <c r="CM469" s="74"/>
      <c r="CN469" s="74"/>
      <c r="CO469" s="74"/>
      <c r="CP469" s="74"/>
      <c r="CQ469" s="74"/>
      <c r="CR469" s="74"/>
      <c r="CS469" s="74"/>
      <c r="CT469" s="74"/>
      <c r="CU469" s="74"/>
      <c r="CV469" s="74"/>
      <c r="CW469" s="74"/>
      <c r="CX469" s="74"/>
      <c r="CY469" s="74"/>
      <c r="CZ469" s="74"/>
      <c r="DA469" s="74"/>
      <c r="DB469" s="74"/>
      <c r="DC469" s="74"/>
    </row>
    <row r="470" spans="15:107" customFormat="1" x14ac:dyDescent="0.35">
      <c r="O470" s="76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/>
      <c r="AZ470" s="74"/>
      <c r="BA470" s="74"/>
      <c r="BB470" s="74"/>
      <c r="BC470" s="74"/>
      <c r="BD470" s="74"/>
      <c r="BE470" s="74"/>
      <c r="BF470" s="74"/>
      <c r="BG470" s="74"/>
      <c r="BH470" s="74"/>
      <c r="BI470" s="74"/>
      <c r="BJ470" s="74"/>
      <c r="BK470" s="74"/>
      <c r="BL470" s="74"/>
      <c r="BM470" s="74"/>
      <c r="BN470" s="74"/>
      <c r="BO470" s="74"/>
      <c r="BP470" s="74"/>
      <c r="BQ470" s="74"/>
      <c r="BR470" s="74"/>
      <c r="BS470" s="74"/>
      <c r="BT470" s="74"/>
      <c r="BU470" s="74"/>
      <c r="BV470" s="74"/>
      <c r="BW470" s="74"/>
      <c r="BX470" s="74"/>
      <c r="BY470" s="74"/>
      <c r="BZ470" s="74"/>
      <c r="CA470" s="74"/>
      <c r="CB470" s="74"/>
      <c r="CC470" s="74"/>
      <c r="CD470" s="74"/>
      <c r="CE470" s="74"/>
      <c r="CF470" s="74"/>
      <c r="CG470" s="74"/>
      <c r="CH470" s="74"/>
      <c r="CI470" s="74"/>
      <c r="CJ470" s="74"/>
      <c r="CK470" s="74"/>
      <c r="CL470" s="74"/>
      <c r="CM470" s="74"/>
      <c r="CN470" s="74"/>
      <c r="CO470" s="74"/>
      <c r="CP470" s="74"/>
      <c r="CQ470" s="74"/>
      <c r="CR470" s="74"/>
      <c r="CS470" s="74"/>
      <c r="CT470" s="74"/>
      <c r="CU470" s="74"/>
      <c r="CV470" s="74"/>
      <c r="CW470" s="74"/>
      <c r="CX470" s="74"/>
      <c r="CY470" s="74"/>
      <c r="CZ470" s="74"/>
      <c r="DA470" s="74"/>
      <c r="DB470" s="74"/>
      <c r="DC470" s="74"/>
    </row>
    <row r="471" spans="15:107" customFormat="1" x14ac:dyDescent="0.35">
      <c r="O471" s="76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  <c r="AW471" s="74"/>
      <c r="AX471" s="74"/>
      <c r="AY471" s="74"/>
      <c r="AZ471" s="74"/>
      <c r="BA471" s="74"/>
      <c r="BB471" s="74"/>
      <c r="BC471" s="74"/>
      <c r="BD471" s="74"/>
      <c r="BE471" s="74"/>
      <c r="BF471" s="74"/>
      <c r="BG471" s="74"/>
      <c r="BH471" s="74"/>
      <c r="BI471" s="74"/>
      <c r="BJ471" s="74"/>
      <c r="BK471" s="74"/>
      <c r="BL471" s="74"/>
      <c r="BM471" s="74"/>
      <c r="BN471" s="74"/>
      <c r="BO471" s="74"/>
      <c r="BP471" s="74"/>
      <c r="BQ471" s="74"/>
      <c r="BR471" s="74"/>
      <c r="BS471" s="74"/>
      <c r="BT471" s="74"/>
      <c r="BU471" s="74"/>
      <c r="BV471" s="74"/>
      <c r="BW471" s="74"/>
      <c r="BX471" s="74"/>
      <c r="BY471" s="74"/>
      <c r="BZ471" s="74"/>
      <c r="CA471" s="74"/>
      <c r="CB471" s="74"/>
      <c r="CC471" s="74"/>
      <c r="CD471" s="74"/>
      <c r="CE471" s="74"/>
      <c r="CF471" s="74"/>
      <c r="CG471" s="74"/>
      <c r="CH471" s="74"/>
      <c r="CI471" s="74"/>
      <c r="CJ471" s="74"/>
      <c r="CK471" s="74"/>
      <c r="CL471" s="74"/>
      <c r="CM471" s="74"/>
      <c r="CN471" s="74"/>
      <c r="CO471" s="74"/>
      <c r="CP471" s="74"/>
      <c r="CQ471" s="74"/>
      <c r="CR471" s="74"/>
      <c r="CS471" s="74"/>
      <c r="CT471" s="74"/>
      <c r="CU471" s="74"/>
      <c r="CV471" s="74"/>
      <c r="CW471" s="74"/>
      <c r="CX471" s="74"/>
      <c r="CY471" s="74"/>
      <c r="CZ471" s="74"/>
      <c r="DA471" s="74"/>
      <c r="DB471" s="74"/>
      <c r="DC471" s="74"/>
    </row>
    <row r="472" spans="15:107" customFormat="1" x14ac:dyDescent="0.35">
      <c r="O472" s="76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74"/>
      <c r="AT472" s="74"/>
      <c r="AU472" s="74"/>
      <c r="AV472" s="74"/>
      <c r="AW472" s="74"/>
      <c r="AX472" s="74"/>
      <c r="AY472" s="74"/>
      <c r="AZ472" s="74"/>
      <c r="BA472" s="74"/>
      <c r="BB472" s="74"/>
      <c r="BC472" s="74"/>
      <c r="BD472" s="74"/>
      <c r="BE472" s="74"/>
      <c r="BF472" s="74"/>
      <c r="BG472" s="74"/>
      <c r="BH472" s="74"/>
      <c r="BI472" s="74"/>
      <c r="BJ472" s="74"/>
      <c r="BK472" s="74"/>
      <c r="BL472" s="74"/>
      <c r="BM472" s="74"/>
      <c r="BN472" s="74"/>
      <c r="BO472" s="74"/>
      <c r="BP472" s="74"/>
      <c r="BQ472" s="74"/>
      <c r="BR472" s="74"/>
      <c r="BS472" s="74"/>
      <c r="BT472" s="74"/>
      <c r="BU472" s="74"/>
      <c r="BV472" s="74"/>
      <c r="BW472" s="74"/>
      <c r="BX472" s="74"/>
      <c r="BY472" s="74"/>
      <c r="BZ472" s="74"/>
      <c r="CA472" s="74"/>
      <c r="CB472" s="74"/>
      <c r="CC472" s="74"/>
      <c r="CD472" s="74"/>
      <c r="CE472" s="74"/>
      <c r="CF472" s="74"/>
      <c r="CG472" s="74"/>
      <c r="CH472" s="74"/>
      <c r="CI472" s="74"/>
      <c r="CJ472" s="74"/>
      <c r="CK472" s="74"/>
      <c r="CL472" s="74"/>
      <c r="CM472" s="74"/>
      <c r="CN472" s="74"/>
      <c r="CO472" s="74"/>
      <c r="CP472" s="74"/>
      <c r="CQ472" s="74"/>
      <c r="CR472" s="74"/>
      <c r="CS472" s="74"/>
      <c r="CT472" s="74"/>
      <c r="CU472" s="74"/>
      <c r="CV472" s="74"/>
      <c r="CW472" s="74"/>
      <c r="CX472" s="74"/>
      <c r="CY472" s="74"/>
      <c r="CZ472" s="74"/>
      <c r="DA472" s="74"/>
      <c r="DB472" s="74"/>
      <c r="DC472" s="74"/>
    </row>
    <row r="473" spans="15:107" customFormat="1" x14ac:dyDescent="0.35">
      <c r="O473" s="76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74"/>
      <c r="BD473" s="74"/>
      <c r="BE473" s="74"/>
      <c r="BF473" s="74"/>
      <c r="BG473" s="74"/>
      <c r="BH473" s="74"/>
      <c r="BI473" s="74"/>
      <c r="BJ473" s="74"/>
      <c r="BK473" s="74"/>
      <c r="BL473" s="74"/>
      <c r="BM473" s="74"/>
      <c r="BN473" s="74"/>
      <c r="BO473" s="74"/>
      <c r="BP473" s="74"/>
      <c r="BQ473" s="74"/>
      <c r="BR473" s="74"/>
      <c r="BS473" s="74"/>
      <c r="BT473" s="74"/>
      <c r="BU473" s="74"/>
      <c r="BV473" s="74"/>
      <c r="BW473" s="74"/>
      <c r="BX473" s="74"/>
      <c r="BY473" s="74"/>
      <c r="BZ473" s="74"/>
      <c r="CA473" s="74"/>
      <c r="CB473" s="74"/>
      <c r="CC473" s="74"/>
      <c r="CD473" s="74"/>
      <c r="CE473" s="74"/>
      <c r="CF473" s="74"/>
      <c r="CG473" s="74"/>
      <c r="CH473" s="74"/>
      <c r="CI473" s="74"/>
      <c r="CJ473" s="74"/>
      <c r="CK473" s="74"/>
      <c r="CL473" s="74"/>
      <c r="CM473" s="74"/>
      <c r="CN473" s="74"/>
      <c r="CO473" s="74"/>
      <c r="CP473" s="74"/>
      <c r="CQ473" s="74"/>
      <c r="CR473" s="74"/>
      <c r="CS473" s="74"/>
      <c r="CT473" s="74"/>
      <c r="CU473" s="74"/>
      <c r="CV473" s="74"/>
      <c r="CW473" s="74"/>
      <c r="CX473" s="74"/>
      <c r="CY473" s="74"/>
      <c r="CZ473" s="74"/>
      <c r="DA473" s="74"/>
      <c r="DB473" s="74"/>
      <c r="DC473" s="74"/>
    </row>
    <row r="474" spans="15:107" customFormat="1" x14ac:dyDescent="0.35">
      <c r="O474" s="76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  <c r="BA474" s="74"/>
      <c r="BB474" s="74"/>
      <c r="BC474" s="74"/>
      <c r="BD474" s="74"/>
      <c r="BE474" s="74"/>
      <c r="BF474" s="74"/>
      <c r="BG474" s="74"/>
      <c r="BH474" s="74"/>
      <c r="BI474" s="74"/>
      <c r="BJ474" s="74"/>
      <c r="BK474" s="74"/>
      <c r="BL474" s="74"/>
      <c r="BM474" s="74"/>
      <c r="BN474" s="74"/>
      <c r="BO474" s="74"/>
      <c r="BP474" s="74"/>
      <c r="BQ474" s="74"/>
      <c r="BR474" s="74"/>
      <c r="BS474" s="74"/>
      <c r="BT474" s="74"/>
      <c r="BU474" s="74"/>
      <c r="BV474" s="74"/>
      <c r="BW474" s="74"/>
      <c r="BX474" s="74"/>
      <c r="BY474" s="74"/>
      <c r="BZ474" s="74"/>
      <c r="CA474" s="74"/>
      <c r="CB474" s="74"/>
      <c r="CC474" s="74"/>
      <c r="CD474" s="74"/>
      <c r="CE474" s="74"/>
      <c r="CF474" s="74"/>
      <c r="CG474" s="74"/>
      <c r="CH474" s="74"/>
      <c r="CI474" s="74"/>
      <c r="CJ474" s="74"/>
      <c r="CK474" s="74"/>
      <c r="CL474" s="74"/>
      <c r="CM474" s="74"/>
      <c r="CN474" s="74"/>
      <c r="CO474" s="74"/>
      <c r="CP474" s="74"/>
      <c r="CQ474" s="74"/>
      <c r="CR474" s="74"/>
      <c r="CS474" s="74"/>
      <c r="CT474" s="74"/>
      <c r="CU474" s="74"/>
      <c r="CV474" s="74"/>
      <c r="CW474" s="74"/>
      <c r="CX474" s="74"/>
      <c r="CY474" s="74"/>
      <c r="CZ474" s="74"/>
      <c r="DA474" s="74"/>
      <c r="DB474" s="74"/>
      <c r="DC474" s="74"/>
    </row>
    <row r="475" spans="15:107" customFormat="1" x14ac:dyDescent="0.35">
      <c r="O475" s="76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74"/>
      <c r="AT475" s="74"/>
      <c r="AU475" s="74"/>
      <c r="AV475" s="74"/>
      <c r="AW475" s="74"/>
      <c r="AX475" s="74"/>
      <c r="AY475" s="74"/>
      <c r="AZ475" s="74"/>
      <c r="BA475" s="74"/>
      <c r="BB475" s="74"/>
      <c r="BC475" s="74"/>
      <c r="BD475" s="74"/>
      <c r="BE475" s="74"/>
      <c r="BF475" s="74"/>
      <c r="BG475" s="74"/>
      <c r="BH475" s="74"/>
      <c r="BI475" s="74"/>
      <c r="BJ475" s="74"/>
      <c r="BK475" s="74"/>
      <c r="BL475" s="74"/>
      <c r="BM475" s="74"/>
      <c r="BN475" s="74"/>
      <c r="BO475" s="74"/>
      <c r="BP475" s="74"/>
      <c r="BQ475" s="74"/>
      <c r="BR475" s="74"/>
      <c r="BS475" s="74"/>
      <c r="BT475" s="74"/>
      <c r="BU475" s="74"/>
      <c r="BV475" s="74"/>
      <c r="BW475" s="74"/>
      <c r="BX475" s="74"/>
      <c r="BY475" s="74"/>
      <c r="BZ475" s="74"/>
      <c r="CA475" s="74"/>
      <c r="CB475" s="74"/>
      <c r="CC475" s="74"/>
      <c r="CD475" s="74"/>
      <c r="CE475" s="74"/>
      <c r="CF475" s="74"/>
      <c r="CG475" s="74"/>
      <c r="CH475" s="74"/>
      <c r="CI475" s="74"/>
      <c r="CJ475" s="74"/>
      <c r="CK475" s="74"/>
      <c r="CL475" s="74"/>
      <c r="CM475" s="74"/>
      <c r="CN475" s="74"/>
      <c r="CO475" s="74"/>
      <c r="CP475" s="74"/>
      <c r="CQ475" s="74"/>
      <c r="CR475" s="74"/>
      <c r="CS475" s="74"/>
      <c r="CT475" s="74"/>
      <c r="CU475" s="74"/>
      <c r="CV475" s="74"/>
      <c r="CW475" s="74"/>
      <c r="CX475" s="74"/>
      <c r="CY475" s="74"/>
      <c r="CZ475" s="74"/>
      <c r="DA475" s="74"/>
      <c r="DB475" s="74"/>
      <c r="DC475" s="74"/>
    </row>
    <row r="476" spans="15:107" customFormat="1" x14ac:dyDescent="0.35">
      <c r="O476" s="76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74"/>
      <c r="BE476" s="74"/>
      <c r="BF476" s="74"/>
      <c r="BG476" s="74"/>
      <c r="BH476" s="74"/>
      <c r="BI476" s="74"/>
      <c r="BJ476" s="74"/>
      <c r="BK476" s="74"/>
      <c r="BL476" s="74"/>
      <c r="BM476" s="74"/>
      <c r="BN476" s="74"/>
      <c r="BO476" s="74"/>
      <c r="BP476" s="74"/>
      <c r="BQ476" s="74"/>
      <c r="BR476" s="74"/>
      <c r="BS476" s="74"/>
      <c r="BT476" s="74"/>
      <c r="BU476" s="74"/>
      <c r="BV476" s="74"/>
      <c r="BW476" s="74"/>
      <c r="BX476" s="74"/>
      <c r="BY476" s="74"/>
      <c r="BZ476" s="74"/>
      <c r="CA476" s="74"/>
      <c r="CB476" s="74"/>
      <c r="CC476" s="74"/>
      <c r="CD476" s="74"/>
      <c r="CE476" s="74"/>
      <c r="CF476" s="74"/>
      <c r="CG476" s="74"/>
      <c r="CH476" s="74"/>
      <c r="CI476" s="74"/>
      <c r="CJ476" s="74"/>
      <c r="CK476" s="74"/>
      <c r="CL476" s="74"/>
      <c r="CM476" s="74"/>
      <c r="CN476" s="74"/>
      <c r="CO476" s="74"/>
      <c r="CP476" s="74"/>
      <c r="CQ476" s="74"/>
      <c r="CR476" s="74"/>
      <c r="CS476" s="74"/>
      <c r="CT476" s="74"/>
      <c r="CU476" s="74"/>
      <c r="CV476" s="74"/>
      <c r="CW476" s="74"/>
      <c r="CX476" s="74"/>
      <c r="CY476" s="74"/>
      <c r="CZ476" s="74"/>
      <c r="DA476" s="74"/>
      <c r="DB476" s="74"/>
      <c r="DC476" s="74"/>
    </row>
    <row r="477" spans="15:107" customFormat="1" x14ac:dyDescent="0.35">
      <c r="O477" s="76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74"/>
      <c r="BD477" s="74"/>
      <c r="BE477" s="74"/>
      <c r="BF477" s="74"/>
      <c r="BG477" s="74"/>
      <c r="BH477" s="74"/>
      <c r="BI477" s="74"/>
      <c r="BJ477" s="74"/>
      <c r="BK477" s="74"/>
      <c r="BL477" s="74"/>
      <c r="BM477" s="74"/>
      <c r="BN477" s="74"/>
      <c r="BO477" s="74"/>
      <c r="BP477" s="74"/>
      <c r="BQ477" s="74"/>
      <c r="BR477" s="74"/>
      <c r="BS477" s="74"/>
      <c r="BT477" s="74"/>
      <c r="BU477" s="74"/>
      <c r="BV477" s="74"/>
      <c r="BW477" s="74"/>
      <c r="BX477" s="74"/>
      <c r="BY477" s="74"/>
      <c r="BZ477" s="74"/>
      <c r="CA477" s="74"/>
      <c r="CB477" s="74"/>
      <c r="CC477" s="74"/>
      <c r="CD477" s="74"/>
      <c r="CE477" s="74"/>
      <c r="CF477" s="74"/>
      <c r="CG477" s="74"/>
      <c r="CH477" s="74"/>
      <c r="CI477" s="74"/>
      <c r="CJ477" s="74"/>
      <c r="CK477" s="74"/>
      <c r="CL477" s="74"/>
      <c r="CM477" s="74"/>
      <c r="CN477" s="74"/>
      <c r="CO477" s="74"/>
      <c r="CP477" s="74"/>
      <c r="CQ477" s="74"/>
      <c r="CR477" s="74"/>
      <c r="CS477" s="74"/>
      <c r="CT477" s="74"/>
      <c r="CU477" s="74"/>
      <c r="CV477" s="74"/>
      <c r="CW477" s="74"/>
      <c r="CX477" s="74"/>
      <c r="CY477" s="74"/>
      <c r="CZ477" s="74"/>
      <c r="DA477" s="74"/>
      <c r="DB477" s="74"/>
      <c r="DC477" s="74"/>
    </row>
    <row r="478" spans="15:107" customFormat="1" x14ac:dyDescent="0.35">
      <c r="O478" s="76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74"/>
      <c r="AT478" s="74"/>
      <c r="AU478" s="74"/>
      <c r="AV478" s="74"/>
      <c r="AW478" s="74"/>
      <c r="AX478" s="74"/>
      <c r="AY478" s="74"/>
      <c r="AZ478" s="74"/>
      <c r="BA478" s="74"/>
      <c r="BB478" s="74"/>
      <c r="BC478" s="74"/>
      <c r="BD478" s="74"/>
      <c r="BE478" s="74"/>
      <c r="BF478" s="74"/>
      <c r="BG478" s="74"/>
      <c r="BH478" s="74"/>
      <c r="BI478" s="74"/>
      <c r="BJ478" s="74"/>
      <c r="BK478" s="74"/>
      <c r="BL478" s="74"/>
      <c r="BM478" s="74"/>
      <c r="BN478" s="74"/>
      <c r="BO478" s="74"/>
      <c r="BP478" s="74"/>
      <c r="BQ478" s="74"/>
      <c r="BR478" s="74"/>
      <c r="BS478" s="74"/>
      <c r="BT478" s="74"/>
      <c r="BU478" s="74"/>
      <c r="BV478" s="74"/>
      <c r="BW478" s="74"/>
      <c r="BX478" s="74"/>
      <c r="BY478" s="74"/>
      <c r="BZ478" s="74"/>
      <c r="CA478" s="74"/>
      <c r="CB478" s="74"/>
      <c r="CC478" s="74"/>
      <c r="CD478" s="74"/>
      <c r="CE478" s="74"/>
      <c r="CF478" s="74"/>
      <c r="CG478" s="74"/>
      <c r="CH478" s="74"/>
      <c r="CI478" s="74"/>
      <c r="CJ478" s="74"/>
      <c r="CK478" s="74"/>
      <c r="CL478" s="74"/>
      <c r="CM478" s="74"/>
      <c r="CN478" s="74"/>
      <c r="CO478" s="74"/>
      <c r="CP478" s="74"/>
      <c r="CQ478" s="74"/>
      <c r="CR478" s="74"/>
      <c r="CS478" s="74"/>
      <c r="CT478" s="74"/>
      <c r="CU478" s="74"/>
      <c r="CV478" s="74"/>
      <c r="CW478" s="74"/>
      <c r="CX478" s="74"/>
      <c r="CY478" s="74"/>
      <c r="CZ478" s="74"/>
      <c r="DA478" s="74"/>
      <c r="DB478" s="74"/>
      <c r="DC478" s="74"/>
    </row>
    <row r="479" spans="15:107" customFormat="1" x14ac:dyDescent="0.35">
      <c r="O479" s="76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74"/>
      <c r="AT479" s="74"/>
      <c r="AU479" s="74"/>
      <c r="AV479" s="74"/>
      <c r="AW479" s="74"/>
      <c r="AX479" s="74"/>
      <c r="AY479" s="74"/>
      <c r="AZ479" s="74"/>
      <c r="BA479" s="74"/>
      <c r="BB479" s="74"/>
      <c r="BC479" s="74"/>
      <c r="BD479" s="74"/>
      <c r="BE479" s="74"/>
      <c r="BF479" s="74"/>
      <c r="BG479" s="74"/>
      <c r="BH479" s="74"/>
      <c r="BI479" s="74"/>
      <c r="BJ479" s="74"/>
      <c r="BK479" s="74"/>
      <c r="BL479" s="74"/>
      <c r="BM479" s="74"/>
      <c r="BN479" s="74"/>
      <c r="BO479" s="74"/>
      <c r="BP479" s="74"/>
      <c r="BQ479" s="74"/>
      <c r="BR479" s="74"/>
      <c r="BS479" s="74"/>
      <c r="BT479" s="74"/>
      <c r="BU479" s="74"/>
      <c r="BV479" s="74"/>
      <c r="BW479" s="74"/>
      <c r="BX479" s="74"/>
      <c r="BY479" s="74"/>
      <c r="BZ479" s="74"/>
      <c r="CA479" s="74"/>
      <c r="CB479" s="74"/>
      <c r="CC479" s="74"/>
      <c r="CD479" s="74"/>
      <c r="CE479" s="74"/>
      <c r="CF479" s="74"/>
      <c r="CG479" s="74"/>
      <c r="CH479" s="74"/>
      <c r="CI479" s="74"/>
      <c r="CJ479" s="74"/>
      <c r="CK479" s="74"/>
      <c r="CL479" s="74"/>
      <c r="CM479" s="74"/>
      <c r="CN479" s="74"/>
      <c r="CO479" s="74"/>
      <c r="CP479" s="74"/>
      <c r="CQ479" s="74"/>
      <c r="CR479" s="74"/>
      <c r="CS479" s="74"/>
      <c r="CT479" s="74"/>
      <c r="CU479" s="74"/>
      <c r="CV479" s="74"/>
      <c r="CW479" s="74"/>
      <c r="CX479" s="74"/>
      <c r="CY479" s="74"/>
      <c r="CZ479" s="74"/>
      <c r="DA479" s="74"/>
      <c r="DB479" s="74"/>
      <c r="DC479" s="74"/>
    </row>
    <row r="480" spans="15:107" customFormat="1" x14ac:dyDescent="0.35">
      <c r="O480" s="76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74"/>
      <c r="BD480" s="74"/>
      <c r="BE480" s="74"/>
      <c r="BF480" s="74"/>
      <c r="BG480" s="74"/>
      <c r="BH480" s="74"/>
      <c r="BI480" s="74"/>
      <c r="BJ480" s="74"/>
      <c r="BK480" s="74"/>
      <c r="BL480" s="74"/>
      <c r="BM480" s="74"/>
      <c r="BN480" s="74"/>
      <c r="BO480" s="74"/>
      <c r="BP480" s="74"/>
      <c r="BQ480" s="74"/>
      <c r="BR480" s="74"/>
      <c r="BS480" s="74"/>
      <c r="BT480" s="74"/>
      <c r="BU480" s="74"/>
      <c r="BV480" s="74"/>
      <c r="BW480" s="74"/>
      <c r="BX480" s="74"/>
      <c r="BY480" s="74"/>
      <c r="BZ480" s="74"/>
      <c r="CA480" s="74"/>
      <c r="CB480" s="74"/>
      <c r="CC480" s="74"/>
      <c r="CD480" s="74"/>
      <c r="CE480" s="74"/>
      <c r="CF480" s="74"/>
      <c r="CG480" s="74"/>
      <c r="CH480" s="74"/>
      <c r="CI480" s="74"/>
      <c r="CJ480" s="74"/>
      <c r="CK480" s="74"/>
      <c r="CL480" s="74"/>
      <c r="CM480" s="74"/>
      <c r="CN480" s="74"/>
      <c r="CO480" s="74"/>
      <c r="CP480" s="74"/>
      <c r="CQ480" s="74"/>
      <c r="CR480" s="74"/>
      <c r="CS480" s="74"/>
      <c r="CT480" s="74"/>
      <c r="CU480" s="74"/>
      <c r="CV480" s="74"/>
      <c r="CW480" s="74"/>
      <c r="CX480" s="74"/>
      <c r="CY480" s="74"/>
      <c r="CZ480" s="74"/>
      <c r="DA480" s="74"/>
      <c r="DB480" s="74"/>
      <c r="DC480" s="74"/>
    </row>
    <row r="481" spans="15:107" customFormat="1" x14ac:dyDescent="0.35">
      <c r="O481" s="76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74"/>
      <c r="BD481" s="74"/>
      <c r="BE481" s="74"/>
      <c r="BF481" s="74"/>
      <c r="BG481" s="74"/>
      <c r="BH481" s="74"/>
      <c r="BI481" s="74"/>
      <c r="BJ481" s="74"/>
      <c r="BK481" s="74"/>
      <c r="BL481" s="74"/>
      <c r="BM481" s="74"/>
      <c r="BN481" s="74"/>
      <c r="BO481" s="74"/>
      <c r="BP481" s="74"/>
      <c r="BQ481" s="74"/>
      <c r="BR481" s="74"/>
      <c r="BS481" s="74"/>
      <c r="BT481" s="74"/>
      <c r="BU481" s="74"/>
      <c r="BV481" s="74"/>
      <c r="BW481" s="74"/>
      <c r="BX481" s="74"/>
      <c r="BY481" s="74"/>
      <c r="BZ481" s="74"/>
      <c r="CA481" s="74"/>
      <c r="CB481" s="74"/>
      <c r="CC481" s="74"/>
      <c r="CD481" s="74"/>
      <c r="CE481" s="74"/>
      <c r="CF481" s="74"/>
      <c r="CG481" s="74"/>
      <c r="CH481" s="74"/>
      <c r="CI481" s="74"/>
      <c r="CJ481" s="74"/>
      <c r="CK481" s="74"/>
      <c r="CL481" s="74"/>
      <c r="CM481" s="74"/>
      <c r="CN481" s="74"/>
      <c r="CO481" s="74"/>
      <c r="CP481" s="74"/>
      <c r="CQ481" s="74"/>
      <c r="CR481" s="74"/>
      <c r="CS481" s="74"/>
      <c r="CT481" s="74"/>
      <c r="CU481" s="74"/>
      <c r="CV481" s="74"/>
      <c r="CW481" s="74"/>
      <c r="CX481" s="74"/>
      <c r="CY481" s="74"/>
      <c r="CZ481" s="74"/>
      <c r="DA481" s="74"/>
      <c r="DB481" s="74"/>
      <c r="DC481" s="74"/>
    </row>
    <row r="482" spans="15:107" customFormat="1" x14ac:dyDescent="0.35">
      <c r="O482" s="76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  <c r="AZ482" s="74"/>
      <c r="BA482" s="74"/>
      <c r="BB482" s="74"/>
      <c r="BC482" s="74"/>
      <c r="BD482" s="74"/>
      <c r="BE482" s="74"/>
      <c r="BF482" s="74"/>
      <c r="BG482" s="74"/>
      <c r="BH482" s="74"/>
      <c r="BI482" s="74"/>
      <c r="BJ482" s="74"/>
      <c r="BK482" s="74"/>
      <c r="BL482" s="74"/>
      <c r="BM482" s="74"/>
      <c r="BN482" s="74"/>
      <c r="BO482" s="74"/>
      <c r="BP482" s="74"/>
      <c r="BQ482" s="74"/>
      <c r="BR482" s="74"/>
      <c r="BS482" s="74"/>
      <c r="BT482" s="74"/>
      <c r="BU482" s="74"/>
      <c r="BV482" s="74"/>
      <c r="BW482" s="74"/>
      <c r="BX482" s="74"/>
      <c r="BY482" s="74"/>
      <c r="BZ482" s="74"/>
      <c r="CA482" s="74"/>
      <c r="CB482" s="74"/>
      <c r="CC482" s="74"/>
      <c r="CD482" s="74"/>
      <c r="CE482" s="74"/>
      <c r="CF482" s="74"/>
      <c r="CG482" s="74"/>
      <c r="CH482" s="74"/>
      <c r="CI482" s="74"/>
      <c r="CJ482" s="74"/>
      <c r="CK482" s="74"/>
      <c r="CL482" s="74"/>
      <c r="CM482" s="74"/>
      <c r="CN482" s="74"/>
      <c r="CO482" s="74"/>
      <c r="CP482" s="74"/>
      <c r="CQ482" s="74"/>
      <c r="CR482" s="74"/>
      <c r="CS482" s="74"/>
      <c r="CT482" s="74"/>
      <c r="CU482" s="74"/>
      <c r="CV482" s="74"/>
      <c r="CW482" s="74"/>
      <c r="CX482" s="74"/>
      <c r="CY482" s="74"/>
      <c r="CZ482" s="74"/>
      <c r="DA482" s="74"/>
      <c r="DB482" s="74"/>
      <c r="DC482" s="74"/>
    </row>
    <row r="483" spans="15:107" customFormat="1" x14ac:dyDescent="0.35">
      <c r="O483" s="76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74"/>
      <c r="BD483" s="74"/>
      <c r="BE483" s="74"/>
      <c r="BF483" s="74"/>
      <c r="BG483" s="74"/>
      <c r="BH483" s="74"/>
      <c r="BI483" s="74"/>
      <c r="BJ483" s="74"/>
      <c r="BK483" s="74"/>
      <c r="BL483" s="74"/>
      <c r="BM483" s="74"/>
      <c r="BN483" s="74"/>
      <c r="BO483" s="74"/>
      <c r="BP483" s="74"/>
      <c r="BQ483" s="74"/>
      <c r="BR483" s="74"/>
      <c r="BS483" s="74"/>
      <c r="BT483" s="74"/>
      <c r="BU483" s="74"/>
      <c r="BV483" s="74"/>
      <c r="BW483" s="74"/>
      <c r="BX483" s="74"/>
      <c r="BY483" s="74"/>
      <c r="BZ483" s="74"/>
      <c r="CA483" s="74"/>
      <c r="CB483" s="74"/>
      <c r="CC483" s="74"/>
      <c r="CD483" s="74"/>
      <c r="CE483" s="74"/>
      <c r="CF483" s="74"/>
      <c r="CG483" s="74"/>
      <c r="CH483" s="74"/>
      <c r="CI483" s="74"/>
      <c r="CJ483" s="74"/>
      <c r="CK483" s="74"/>
      <c r="CL483" s="74"/>
      <c r="CM483" s="74"/>
      <c r="CN483" s="74"/>
      <c r="CO483" s="74"/>
      <c r="CP483" s="74"/>
      <c r="CQ483" s="74"/>
      <c r="CR483" s="74"/>
      <c r="CS483" s="74"/>
      <c r="CT483" s="74"/>
      <c r="CU483" s="74"/>
      <c r="CV483" s="74"/>
      <c r="CW483" s="74"/>
      <c r="CX483" s="74"/>
      <c r="CY483" s="74"/>
      <c r="CZ483" s="74"/>
      <c r="DA483" s="74"/>
      <c r="DB483" s="74"/>
      <c r="DC483" s="74"/>
    </row>
    <row r="484" spans="15:107" customFormat="1" x14ac:dyDescent="0.35">
      <c r="O484" s="76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74"/>
      <c r="BD484" s="74"/>
      <c r="BE484" s="74"/>
      <c r="BF484" s="74"/>
      <c r="BG484" s="74"/>
      <c r="BH484" s="74"/>
      <c r="BI484" s="74"/>
      <c r="BJ484" s="74"/>
      <c r="BK484" s="74"/>
      <c r="BL484" s="74"/>
      <c r="BM484" s="74"/>
      <c r="BN484" s="74"/>
      <c r="BO484" s="74"/>
      <c r="BP484" s="74"/>
      <c r="BQ484" s="74"/>
      <c r="BR484" s="74"/>
      <c r="BS484" s="74"/>
      <c r="BT484" s="74"/>
      <c r="BU484" s="74"/>
      <c r="BV484" s="74"/>
      <c r="BW484" s="74"/>
      <c r="BX484" s="74"/>
      <c r="BY484" s="74"/>
      <c r="BZ484" s="74"/>
      <c r="CA484" s="74"/>
      <c r="CB484" s="74"/>
      <c r="CC484" s="74"/>
      <c r="CD484" s="74"/>
      <c r="CE484" s="74"/>
      <c r="CF484" s="74"/>
      <c r="CG484" s="74"/>
      <c r="CH484" s="74"/>
      <c r="CI484" s="74"/>
      <c r="CJ484" s="74"/>
      <c r="CK484" s="74"/>
      <c r="CL484" s="74"/>
      <c r="CM484" s="74"/>
      <c r="CN484" s="74"/>
      <c r="CO484" s="74"/>
      <c r="CP484" s="74"/>
      <c r="CQ484" s="74"/>
      <c r="CR484" s="74"/>
      <c r="CS484" s="74"/>
      <c r="CT484" s="74"/>
      <c r="CU484" s="74"/>
      <c r="CV484" s="74"/>
      <c r="CW484" s="74"/>
      <c r="CX484" s="74"/>
      <c r="CY484" s="74"/>
      <c r="CZ484" s="74"/>
      <c r="DA484" s="74"/>
      <c r="DB484" s="74"/>
      <c r="DC484" s="74"/>
    </row>
    <row r="485" spans="15:107" customFormat="1" x14ac:dyDescent="0.35">
      <c r="O485" s="76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  <c r="AZ485" s="74"/>
      <c r="BA485" s="74"/>
      <c r="BB485" s="74"/>
      <c r="BC485" s="74"/>
      <c r="BD485" s="74"/>
      <c r="BE485" s="74"/>
      <c r="BF485" s="74"/>
      <c r="BG485" s="74"/>
      <c r="BH485" s="74"/>
      <c r="BI485" s="74"/>
      <c r="BJ485" s="74"/>
      <c r="BK485" s="74"/>
      <c r="BL485" s="74"/>
      <c r="BM485" s="74"/>
      <c r="BN485" s="74"/>
      <c r="BO485" s="74"/>
      <c r="BP485" s="74"/>
      <c r="BQ485" s="74"/>
      <c r="BR485" s="74"/>
      <c r="BS485" s="74"/>
      <c r="BT485" s="74"/>
      <c r="BU485" s="74"/>
      <c r="BV485" s="74"/>
      <c r="BW485" s="74"/>
      <c r="BX485" s="74"/>
      <c r="BY485" s="74"/>
      <c r="BZ485" s="74"/>
      <c r="CA485" s="74"/>
      <c r="CB485" s="74"/>
      <c r="CC485" s="74"/>
      <c r="CD485" s="74"/>
      <c r="CE485" s="74"/>
      <c r="CF485" s="74"/>
      <c r="CG485" s="74"/>
      <c r="CH485" s="74"/>
      <c r="CI485" s="74"/>
      <c r="CJ485" s="74"/>
      <c r="CK485" s="74"/>
      <c r="CL485" s="74"/>
      <c r="CM485" s="74"/>
      <c r="CN485" s="74"/>
      <c r="CO485" s="74"/>
      <c r="CP485" s="74"/>
      <c r="CQ485" s="74"/>
      <c r="CR485" s="74"/>
      <c r="CS485" s="74"/>
      <c r="CT485" s="74"/>
      <c r="CU485" s="74"/>
      <c r="CV485" s="74"/>
      <c r="CW485" s="74"/>
      <c r="CX485" s="74"/>
      <c r="CY485" s="74"/>
      <c r="CZ485" s="74"/>
      <c r="DA485" s="74"/>
      <c r="DB485" s="74"/>
      <c r="DC485" s="74"/>
    </row>
    <row r="486" spans="15:107" customFormat="1" x14ac:dyDescent="0.35">
      <c r="O486" s="76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/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74"/>
      <c r="BJ486" s="74"/>
      <c r="BK486" s="74"/>
      <c r="BL486" s="74"/>
      <c r="BM486" s="74"/>
      <c r="BN486" s="74"/>
      <c r="BO486" s="74"/>
      <c r="BP486" s="74"/>
      <c r="BQ486" s="74"/>
      <c r="BR486" s="74"/>
      <c r="BS486" s="74"/>
      <c r="BT486" s="74"/>
      <c r="BU486" s="74"/>
      <c r="BV486" s="74"/>
      <c r="BW486" s="74"/>
      <c r="BX486" s="74"/>
      <c r="BY486" s="74"/>
      <c r="BZ486" s="74"/>
      <c r="CA486" s="74"/>
      <c r="CB486" s="74"/>
      <c r="CC486" s="74"/>
      <c r="CD486" s="74"/>
      <c r="CE486" s="74"/>
      <c r="CF486" s="74"/>
      <c r="CG486" s="74"/>
      <c r="CH486" s="74"/>
      <c r="CI486" s="74"/>
      <c r="CJ486" s="74"/>
      <c r="CK486" s="74"/>
      <c r="CL486" s="74"/>
      <c r="CM486" s="74"/>
      <c r="CN486" s="74"/>
      <c r="CO486" s="74"/>
      <c r="CP486" s="74"/>
      <c r="CQ486" s="74"/>
      <c r="CR486" s="74"/>
      <c r="CS486" s="74"/>
      <c r="CT486" s="74"/>
      <c r="CU486" s="74"/>
      <c r="CV486" s="74"/>
      <c r="CW486" s="74"/>
      <c r="CX486" s="74"/>
      <c r="CY486" s="74"/>
      <c r="CZ486" s="74"/>
      <c r="DA486" s="74"/>
      <c r="DB486" s="74"/>
      <c r="DC486" s="74"/>
    </row>
    <row r="487" spans="15:107" customFormat="1" x14ac:dyDescent="0.35">
      <c r="O487" s="76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74"/>
      <c r="BJ487" s="74"/>
      <c r="BK487" s="74"/>
      <c r="BL487" s="74"/>
      <c r="BM487" s="74"/>
      <c r="BN487" s="74"/>
      <c r="BO487" s="74"/>
      <c r="BP487" s="74"/>
      <c r="BQ487" s="74"/>
      <c r="BR487" s="74"/>
      <c r="BS487" s="74"/>
      <c r="BT487" s="74"/>
      <c r="BU487" s="74"/>
      <c r="BV487" s="74"/>
      <c r="BW487" s="74"/>
      <c r="BX487" s="74"/>
      <c r="BY487" s="74"/>
      <c r="BZ487" s="74"/>
      <c r="CA487" s="74"/>
      <c r="CB487" s="74"/>
      <c r="CC487" s="74"/>
      <c r="CD487" s="74"/>
      <c r="CE487" s="74"/>
      <c r="CF487" s="74"/>
      <c r="CG487" s="74"/>
      <c r="CH487" s="74"/>
      <c r="CI487" s="74"/>
      <c r="CJ487" s="74"/>
      <c r="CK487" s="74"/>
      <c r="CL487" s="74"/>
      <c r="CM487" s="74"/>
      <c r="CN487" s="74"/>
      <c r="CO487" s="74"/>
      <c r="CP487" s="74"/>
      <c r="CQ487" s="74"/>
      <c r="CR487" s="74"/>
      <c r="CS487" s="74"/>
      <c r="CT487" s="74"/>
      <c r="CU487" s="74"/>
      <c r="CV487" s="74"/>
      <c r="CW487" s="74"/>
      <c r="CX487" s="74"/>
      <c r="CY487" s="74"/>
      <c r="CZ487" s="74"/>
      <c r="DA487" s="74"/>
      <c r="DB487" s="74"/>
      <c r="DC487" s="74"/>
    </row>
    <row r="488" spans="15:107" customFormat="1" x14ac:dyDescent="0.35">
      <c r="O488" s="76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74"/>
      <c r="BM488" s="74"/>
      <c r="BN488" s="74"/>
      <c r="BO488" s="74"/>
      <c r="BP488" s="74"/>
      <c r="BQ488" s="74"/>
      <c r="BR488" s="74"/>
      <c r="BS488" s="74"/>
      <c r="BT488" s="74"/>
      <c r="BU488" s="74"/>
      <c r="BV488" s="74"/>
      <c r="BW488" s="74"/>
      <c r="BX488" s="74"/>
      <c r="BY488" s="74"/>
      <c r="BZ488" s="74"/>
      <c r="CA488" s="74"/>
      <c r="CB488" s="74"/>
      <c r="CC488" s="74"/>
      <c r="CD488" s="74"/>
      <c r="CE488" s="74"/>
      <c r="CF488" s="74"/>
      <c r="CG488" s="74"/>
      <c r="CH488" s="74"/>
      <c r="CI488" s="74"/>
      <c r="CJ488" s="74"/>
      <c r="CK488" s="74"/>
      <c r="CL488" s="74"/>
      <c r="CM488" s="74"/>
      <c r="CN488" s="74"/>
      <c r="CO488" s="74"/>
      <c r="CP488" s="74"/>
      <c r="CQ488" s="74"/>
      <c r="CR488" s="74"/>
      <c r="CS488" s="74"/>
      <c r="CT488" s="74"/>
      <c r="CU488" s="74"/>
      <c r="CV488" s="74"/>
      <c r="CW488" s="74"/>
      <c r="CX488" s="74"/>
      <c r="CY488" s="74"/>
      <c r="CZ488" s="74"/>
      <c r="DA488" s="74"/>
      <c r="DB488" s="74"/>
      <c r="DC488" s="74"/>
    </row>
    <row r="489" spans="15:107" customFormat="1" x14ac:dyDescent="0.35">
      <c r="O489" s="76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74"/>
      <c r="BE489" s="74"/>
      <c r="BF489" s="74"/>
      <c r="BG489" s="74"/>
      <c r="BH489" s="74"/>
      <c r="BI489" s="74"/>
      <c r="BJ489" s="74"/>
      <c r="BK489" s="74"/>
      <c r="BL489" s="74"/>
      <c r="BM489" s="74"/>
      <c r="BN489" s="74"/>
      <c r="BO489" s="74"/>
      <c r="BP489" s="74"/>
      <c r="BQ489" s="74"/>
      <c r="BR489" s="74"/>
      <c r="BS489" s="74"/>
      <c r="BT489" s="74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4"/>
      <c r="CH489" s="74"/>
      <c r="CI489" s="74"/>
      <c r="CJ489" s="74"/>
      <c r="CK489" s="74"/>
      <c r="CL489" s="74"/>
      <c r="CM489" s="74"/>
      <c r="CN489" s="74"/>
      <c r="CO489" s="74"/>
      <c r="CP489" s="74"/>
      <c r="CQ489" s="74"/>
      <c r="CR489" s="74"/>
      <c r="CS489" s="74"/>
      <c r="CT489" s="74"/>
      <c r="CU489" s="74"/>
      <c r="CV489" s="74"/>
      <c r="CW489" s="74"/>
      <c r="CX489" s="74"/>
      <c r="CY489" s="74"/>
      <c r="CZ489" s="74"/>
      <c r="DA489" s="74"/>
      <c r="DB489" s="74"/>
      <c r="DC489" s="74"/>
    </row>
    <row r="490" spans="15:107" customFormat="1" x14ac:dyDescent="0.35">
      <c r="O490" s="76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  <c r="CD490" s="74"/>
      <c r="CE490" s="74"/>
      <c r="CF490" s="74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74"/>
      <c r="CR490" s="74"/>
      <c r="CS490" s="74"/>
      <c r="CT490" s="74"/>
      <c r="CU490" s="74"/>
      <c r="CV490" s="74"/>
      <c r="CW490" s="74"/>
      <c r="CX490" s="74"/>
      <c r="CY490" s="74"/>
      <c r="CZ490" s="74"/>
      <c r="DA490" s="74"/>
      <c r="DB490" s="74"/>
      <c r="DC490" s="74"/>
    </row>
    <row r="491" spans="15:107" customFormat="1" x14ac:dyDescent="0.35">
      <c r="O491" s="76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4"/>
      <c r="CH491" s="74"/>
      <c r="CI491" s="74"/>
      <c r="CJ491" s="74"/>
      <c r="CK491" s="74"/>
      <c r="CL491" s="74"/>
      <c r="CM491" s="74"/>
      <c r="CN491" s="74"/>
      <c r="CO491" s="74"/>
      <c r="CP491" s="74"/>
      <c r="CQ491" s="74"/>
      <c r="CR491" s="74"/>
      <c r="CS491" s="74"/>
      <c r="CT491" s="74"/>
      <c r="CU491" s="74"/>
      <c r="CV491" s="74"/>
      <c r="CW491" s="74"/>
      <c r="CX491" s="74"/>
      <c r="CY491" s="74"/>
      <c r="CZ491" s="74"/>
      <c r="DA491" s="74"/>
      <c r="DB491" s="74"/>
      <c r="DC491" s="74"/>
    </row>
    <row r="492" spans="15:107" customFormat="1" x14ac:dyDescent="0.35">
      <c r="O492" s="76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4"/>
      <c r="CH492" s="74"/>
      <c r="CI492" s="74"/>
      <c r="CJ492" s="74"/>
      <c r="CK492" s="74"/>
      <c r="CL492" s="74"/>
      <c r="CM492" s="74"/>
      <c r="CN492" s="74"/>
      <c r="CO492" s="74"/>
      <c r="CP492" s="74"/>
      <c r="CQ492" s="74"/>
      <c r="CR492" s="74"/>
      <c r="CS492" s="74"/>
      <c r="CT492" s="74"/>
      <c r="CU492" s="74"/>
      <c r="CV492" s="74"/>
      <c r="CW492" s="74"/>
      <c r="CX492" s="74"/>
      <c r="CY492" s="74"/>
      <c r="CZ492" s="74"/>
      <c r="DA492" s="74"/>
      <c r="DB492" s="74"/>
      <c r="DC492" s="74"/>
    </row>
    <row r="493" spans="15:107" customFormat="1" x14ac:dyDescent="0.35">
      <c r="O493" s="76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  <c r="CD493" s="74"/>
      <c r="CE493" s="74"/>
      <c r="CF493" s="74"/>
      <c r="CG493" s="74"/>
      <c r="CH493" s="74"/>
      <c r="CI493" s="74"/>
      <c r="CJ493" s="74"/>
      <c r="CK493" s="74"/>
      <c r="CL493" s="74"/>
      <c r="CM493" s="74"/>
      <c r="CN493" s="74"/>
      <c r="CO493" s="74"/>
      <c r="CP493" s="74"/>
      <c r="CQ493" s="74"/>
      <c r="CR493" s="74"/>
      <c r="CS493" s="74"/>
      <c r="CT493" s="74"/>
      <c r="CU493" s="74"/>
      <c r="CV493" s="74"/>
      <c r="CW493" s="74"/>
      <c r="CX493" s="74"/>
      <c r="CY493" s="74"/>
      <c r="CZ493" s="74"/>
      <c r="DA493" s="74"/>
      <c r="DB493" s="74"/>
      <c r="DC493" s="74"/>
    </row>
    <row r="494" spans="15:107" customFormat="1" x14ac:dyDescent="0.35">
      <c r="O494" s="76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  <c r="CD494" s="74"/>
      <c r="CE494" s="74"/>
      <c r="CF494" s="74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74"/>
      <c r="CR494" s="74"/>
      <c r="CS494" s="74"/>
      <c r="CT494" s="74"/>
      <c r="CU494" s="74"/>
      <c r="CV494" s="74"/>
      <c r="CW494" s="74"/>
      <c r="CX494" s="74"/>
      <c r="CY494" s="74"/>
      <c r="CZ494" s="74"/>
      <c r="DA494" s="74"/>
      <c r="DB494" s="74"/>
      <c r="DC494" s="74"/>
    </row>
    <row r="495" spans="15:107" customFormat="1" x14ac:dyDescent="0.35">
      <c r="O495" s="76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74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74"/>
      <c r="CR495" s="74"/>
      <c r="CS495" s="74"/>
      <c r="CT495" s="74"/>
      <c r="CU495" s="74"/>
      <c r="CV495" s="74"/>
      <c r="CW495" s="74"/>
      <c r="CX495" s="74"/>
      <c r="CY495" s="74"/>
      <c r="CZ495" s="74"/>
      <c r="DA495" s="74"/>
      <c r="DB495" s="74"/>
      <c r="DC495" s="74"/>
    </row>
    <row r="496" spans="15:107" customFormat="1" x14ac:dyDescent="0.35">
      <c r="O496" s="76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  <c r="BY496" s="74"/>
      <c r="BZ496" s="74"/>
      <c r="CA496" s="74"/>
      <c r="CB496" s="74"/>
      <c r="CC496" s="74"/>
      <c r="CD496" s="74"/>
      <c r="CE496" s="74"/>
      <c r="CF496" s="74"/>
      <c r="CG496" s="74"/>
      <c r="CH496" s="74"/>
      <c r="CI496" s="74"/>
      <c r="CJ496" s="74"/>
      <c r="CK496" s="74"/>
      <c r="CL496" s="74"/>
      <c r="CM496" s="74"/>
      <c r="CN496" s="74"/>
      <c r="CO496" s="74"/>
      <c r="CP496" s="74"/>
      <c r="CQ496" s="74"/>
      <c r="CR496" s="74"/>
      <c r="CS496" s="74"/>
      <c r="CT496" s="74"/>
      <c r="CU496" s="74"/>
      <c r="CV496" s="74"/>
      <c r="CW496" s="74"/>
      <c r="CX496" s="74"/>
      <c r="CY496" s="74"/>
      <c r="CZ496" s="74"/>
      <c r="DA496" s="74"/>
      <c r="DB496" s="74"/>
      <c r="DC496" s="74"/>
    </row>
    <row r="497" spans="15:107" customFormat="1" x14ac:dyDescent="0.35">
      <c r="O497" s="76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  <c r="BY497" s="74"/>
      <c r="BZ497" s="74"/>
      <c r="CA497" s="74"/>
      <c r="CB497" s="74"/>
      <c r="CC497" s="74"/>
      <c r="CD497" s="74"/>
      <c r="CE497" s="74"/>
      <c r="CF497" s="74"/>
      <c r="CG497" s="74"/>
      <c r="CH497" s="74"/>
      <c r="CI497" s="74"/>
      <c r="CJ497" s="74"/>
      <c r="CK497" s="74"/>
      <c r="CL497" s="74"/>
      <c r="CM497" s="74"/>
      <c r="CN497" s="74"/>
      <c r="CO497" s="74"/>
      <c r="CP497" s="74"/>
      <c r="CQ497" s="74"/>
      <c r="CR497" s="74"/>
      <c r="CS497" s="74"/>
      <c r="CT497" s="74"/>
      <c r="CU497" s="74"/>
      <c r="CV497" s="74"/>
      <c r="CW497" s="74"/>
      <c r="CX497" s="74"/>
      <c r="CY497" s="74"/>
      <c r="CZ497" s="74"/>
      <c r="DA497" s="74"/>
      <c r="DB497" s="74"/>
      <c r="DC497" s="74"/>
    </row>
    <row r="498" spans="15:107" customFormat="1" x14ac:dyDescent="0.35">
      <c r="O498" s="76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  <c r="BY498" s="74"/>
      <c r="BZ498" s="74"/>
      <c r="CA498" s="74"/>
      <c r="CB498" s="74"/>
      <c r="CC498" s="74"/>
      <c r="CD498" s="74"/>
      <c r="CE498" s="74"/>
      <c r="CF498" s="74"/>
      <c r="CG498" s="74"/>
      <c r="CH498" s="74"/>
      <c r="CI498" s="74"/>
      <c r="CJ498" s="74"/>
      <c r="CK498" s="74"/>
      <c r="CL498" s="74"/>
      <c r="CM498" s="74"/>
      <c r="CN498" s="74"/>
      <c r="CO498" s="74"/>
      <c r="CP498" s="74"/>
      <c r="CQ498" s="74"/>
      <c r="CR498" s="74"/>
      <c r="CS498" s="74"/>
      <c r="CT498" s="74"/>
      <c r="CU498" s="74"/>
      <c r="CV498" s="74"/>
      <c r="CW498" s="74"/>
      <c r="CX498" s="74"/>
      <c r="CY498" s="74"/>
      <c r="CZ498" s="74"/>
      <c r="DA498" s="74"/>
      <c r="DB498" s="74"/>
      <c r="DC498" s="74"/>
    </row>
    <row r="499" spans="15:107" customFormat="1" x14ac:dyDescent="0.35">
      <c r="O499" s="76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  <c r="BY499" s="74"/>
      <c r="BZ499" s="74"/>
      <c r="CA499" s="74"/>
      <c r="CB499" s="74"/>
      <c r="CC499" s="74"/>
      <c r="CD499" s="74"/>
      <c r="CE499" s="74"/>
      <c r="CF499" s="74"/>
      <c r="CG499" s="74"/>
      <c r="CH499" s="74"/>
      <c r="CI499" s="74"/>
      <c r="CJ499" s="74"/>
      <c r="CK499" s="74"/>
      <c r="CL499" s="74"/>
      <c r="CM499" s="74"/>
      <c r="CN499" s="74"/>
      <c r="CO499" s="74"/>
      <c r="CP499" s="74"/>
      <c r="CQ499" s="74"/>
      <c r="CR499" s="74"/>
      <c r="CS499" s="74"/>
      <c r="CT499" s="74"/>
      <c r="CU499" s="74"/>
      <c r="CV499" s="74"/>
      <c r="CW499" s="74"/>
      <c r="CX499" s="74"/>
      <c r="CY499" s="74"/>
      <c r="CZ499" s="74"/>
      <c r="DA499" s="74"/>
      <c r="DB499" s="74"/>
      <c r="DC499" s="74"/>
    </row>
    <row r="500" spans="15:107" customFormat="1" x14ac:dyDescent="0.35">
      <c r="O500" s="76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  <c r="AX500" s="74"/>
      <c r="AY500" s="74"/>
      <c r="AZ500" s="74"/>
      <c r="BA500" s="74"/>
      <c r="BB500" s="74"/>
      <c r="BC500" s="74"/>
      <c r="BD500" s="74"/>
      <c r="BE500" s="74"/>
      <c r="BF500" s="74"/>
      <c r="BG500" s="74"/>
      <c r="BH500" s="74"/>
      <c r="BI500" s="74"/>
      <c r="BJ500" s="74"/>
      <c r="BK500" s="74"/>
      <c r="BL500" s="74"/>
      <c r="BM500" s="74"/>
      <c r="BN500" s="74"/>
      <c r="BO500" s="74"/>
      <c r="BP500" s="74"/>
      <c r="BQ500" s="74"/>
      <c r="BR500" s="74"/>
      <c r="BS500" s="74"/>
      <c r="BT500" s="74"/>
      <c r="BU500" s="74"/>
      <c r="BV500" s="74"/>
      <c r="BW500" s="74"/>
      <c r="BX500" s="74"/>
      <c r="BY500" s="74"/>
      <c r="BZ500" s="74"/>
      <c r="CA500" s="74"/>
      <c r="CB500" s="74"/>
      <c r="CC500" s="74"/>
      <c r="CD500" s="74"/>
      <c r="CE500" s="74"/>
      <c r="CF500" s="74"/>
      <c r="CG500" s="74"/>
      <c r="CH500" s="74"/>
      <c r="CI500" s="74"/>
      <c r="CJ500" s="74"/>
      <c r="CK500" s="74"/>
      <c r="CL500" s="74"/>
      <c r="CM500" s="74"/>
      <c r="CN500" s="74"/>
      <c r="CO500" s="74"/>
      <c r="CP500" s="74"/>
      <c r="CQ500" s="74"/>
      <c r="CR500" s="74"/>
      <c r="CS500" s="74"/>
      <c r="CT500" s="74"/>
      <c r="CU500" s="74"/>
      <c r="CV500" s="74"/>
      <c r="CW500" s="74"/>
      <c r="CX500" s="74"/>
      <c r="CY500" s="74"/>
      <c r="CZ500" s="74"/>
      <c r="DA500" s="74"/>
      <c r="DB500" s="74"/>
      <c r="DC500" s="74"/>
    </row>
    <row r="501" spans="15:107" customFormat="1" x14ac:dyDescent="0.35">
      <c r="O501" s="76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  <c r="AX501" s="74"/>
      <c r="AY501" s="74"/>
      <c r="AZ501" s="74"/>
      <c r="BA501" s="74"/>
      <c r="BB501" s="74"/>
      <c r="BC501" s="74"/>
      <c r="BD501" s="74"/>
      <c r="BE501" s="74"/>
      <c r="BF501" s="74"/>
      <c r="BG501" s="74"/>
      <c r="BH501" s="74"/>
      <c r="BI501" s="74"/>
      <c r="BJ501" s="74"/>
      <c r="BK501" s="74"/>
      <c r="BL501" s="74"/>
      <c r="BM501" s="74"/>
      <c r="BN501" s="74"/>
      <c r="BO501" s="74"/>
      <c r="BP501" s="74"/>
      <c r="BQ501" s="74"/>
      <c r="BR501" s="74"/>
      <c r="BS501" s="74"/>
      <c r="BT501" s="74"/>
      <c r="BU501" s="74"/>
      <c r="BV501" s="74"/>
      <c r="BW501" s="74"/>
      <c r="BX501" s="74"/>
      <c r="BY501" s="74"/>
      <c r="BZ501" s="74"/>
      <c r="CA501" s="74"/>
      <c r="CB501" s="74"/>
      <c r="CC501" s="74"/>
      <c r="CD501" s="74"/>
      <c r="CE501" s="74"/>
      <c r="CF501" s="74"/>
      <c r="CG501" s="74"/>
      <c r="CH501" s="74"/>
      <c r="CI501" s="74"/>
      <c r="CJ501" s="74"/>
      <c r="CK501" s="74"/>
      <c r="CL501" s="74"/>
      <c r="CM501" s="74"/>
      <c r="CN501" s="74"/>
      <c r="CO501" s="74"/>
      <c r="CP501" s="74"/>
      <c r="CQ501" s="74"/>
      <c r="CR501" s="74"/>
      <c r="CS501" s="74"/>
      <c r="CT501" s="74"/>
      <c r="CU501" s="74"/>
      <c r="CV501" s="74"/>
      <c r="CW501" s="74"/>
      <c r="CX501" s="74"/>
      <c r="CY501" s="74"/>
      <c r="CZ501" s="74"/>
      <c r="DA501" s="74"/>
      <c r="DB501" s="74"/>
      <c r="DC501" s="74"/>
    </row>
    <row r="502" spans="15:107" customFormat="1" x14ac:dyDescent="0.35">
      <c r="O502" s="76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74"/>
      <c r="AT502" s="74"/>
      <c r="AU502" s="74"/>
      <c r="AV502" s="74"/>
      <c r="AW502" s="74"/>
      <c r="AX502" s="74"/>
      <c r="AY502" s="74"/>
      <c r="AZ502" s="74"/>
      <c r="BA502" s="74"/>
      <c r="BB502" s="74"/>
      <c r="BC502" s="74"/>
      <c r="BD502" s="74"/>
      <c r="BE502" s="74"/>
      <c r="BF502" s="74"/>
      <c r="BG502" s="74"/>
      <c r="BH502" s="74"/>
      <c r="BI502" s="74"/>
      <c r="BJ502" s="74"/>
      <c r="BK502" s="74"/>
      <c r="BL502" s="74"/>
      <c r="BM502" s="74"/>
      <c r="BN502" s="74"/>
      <c r="BO502" s="74"/>
      <c r="BP502" s="74"/>
      <c r="BQ502" s="74"/>
      <c r="BR502" s="74"/>
      <c r="BS502" s="74"/>
      <c r="BT502" s="74"/>
      <c r="BU502" s="74"/>
      <c r="BV502" s="74"/>
      <c r="BW502" s="74"/>
      <c r="BX502" s="74"/>
      <c r="BY502" s="74"/>
      <c r="BZ502" s="74"/>
      <c r="CA502" s="74"/>
      <c r="CB502" s="74"/>
      <c r="CC502" s="74"/>
      <c r="CD502" s="74"/>
      <c r="CE502" s="74"/>
      <c r="CF502" s="74"/>
      <c r="CG502" s="74"/>
      <c r="CH502" s="74"/>
      <c r="CI502" s="74"/>
      <c r="CJ502" s="74"/>
      <c r="CK502" s="74"/>
      <c r="CL502" s="74"/>
      <c r="CM502" s="74"/>
      <c r="CN502" s="74"/>
      <c r="CO502" s="74"/>
      <c r="CP502" s="74"/>
      <c r="CQ502" s="74"/>
      <c r="CR502" s="74"/>
      <c r="CS502" s="74"/>
      <c r="CT502" s="74"/>
      <c r="CU502" s="74"/>
      <c r="CV502" s="74"/>
      <c r="CW502" s="74"/>
      <c r="CX502" s="74"/>
      <c r="CY502" s="74"/>
      <c r="CZ502" s="74"/>
      <c r="DA502" s="74"/>
      <c r="DB502" s="74"/>
      <c r="DC502" s="74"/>
    </row>
    <row r="503" spans="15:107" customFormat="1" x14ac:dyDescent="0.35">
      <c r="O503" s="76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  <c r="AW503" s="74"/>
      <c r="AX503" s="74"/>
      <c r="AY503" s="74"/>
      <c r="AZ503" s="74"/>
      <c r="BA503" s="74"/>
      <c r="BB503" s="74"/>
      <c r="BC503" s="74"/>
      <c r="BD503" s="74"/>
      <c r="BE503" s="74"/>
      <c r="BF503" s="74"/>
      <c r="BG503" s="74"/>
      <c r="BH503" s="74"/>
      <c r="BI503" s="74"/>
      <c r="BJ503" s="74"/>
      <c r="BK503" s="74"/>
      <c r="BL503" s="74"/>
      <c r="BM503" s="74"/>
      <c r="BN503" s="74"/>
      <c r="BO503" s="74"/>
      <c r="BP503" s="74"/>
      <c r="BQ503" s="74"/>
      <c r="BR503" s="74"/>
      <c r="BS503" s="74"/>
      <c r="BT503" s="74"/>
      <c r="BU503" s="74"/>
      <c r="BV503" s="74"/>
      <c r="BW503" s="74"/>
      <c r="BX503" s="74"/>
      <c r="BY503" s="74"/>
      <c r="BZ503" s="74"/>
      <c r="CA503" s="74"/>
      <c r="CB503" s="74"/>
      <c r="CC503" s="74"/>
      <c r="CD503" s="74"/>
      <c r="CE503" s="74"/>
      <c r="CF503" s="74"/>
      <c r="CG503" s="74"/>
      <c r="CH503" s="74"/>
      <c r="CI503" s="74"/>
      <c r="CJ503" s="74"/>
      <c r="CK503" s="74"/>
      <c r="CL503" s="74"/>
      <c r="CM503" s="74"/>
      <c r="CN503" s="74"/>
      <c r="CO503" s="74"/>
      <c r="CP503" s="74"/>
      <c r="CQ503" s="74"/>
      <c r="CR503" s="74"/>
      <c r="CS503" s="74"/>
      <c r="CT503" s="74"/>
      <c r="CU503" s="74"/>
      <c r="CV503" s="74"/>
      <c r="CW503" s="74"/>
      <c r="CX503" s="74"/>
      <c r="CY503" s="74"/>
      <c r="CZ503" s="74"/>
      <c r="DA503" s="74"/>
      <c r="DB503" s="74"/>
      <c r="DC503" s="74"/>
    </row>
    <row r="504" spans="15:107" customFormat="1" x14ac:dyDescent="0.35">
      <c r="O504" s="76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74"/>
      <c r="AT504" s="74"/>
      <c r="AU504" s="74"/>
      <c r="AV504" s="74"/>
      <c r="AW504" s="74"/>
      <c r="AX504" s="74"/>
      <c r="AY504" s="74"/>
      <c r="AZ504" s="74"/>
      <c r="BA504" s="74"/>
      <c r="BB504" s="74"/>
      <c r="BC504" s="74"/>
      <c r="BD504" s="74"/>
      <c r="BE504" s="74"/>
      <c r="BF504" s="74"/>
      <c r="BG504" s="74"/>
      <c r="BH504" s="74"/>
      <c r="BI504" s="74"/>
      <c r="BJ504" s="74"/>
      <c r="BK504" s="74"/>
      <c r="BL504" s="74"/>
      <c r="BM504" s="74"/>
      <c r="BN504" s="74"/>
      <c r="BO504" s="74"/>
      <c r="BP504" s="74"/>
      <c r="BQ504" s="74"/>
      <c r="BR504" s="74"/>
      <c r="BS504" s="74"/>
      <c r="BT504" s="74"/>
      <c r="BU504" s="74"/>
      <c r="BV504" s="74"/>
      <c r="BW504" s="74"/>
      <c r="BX504" s="74"/>
      <c r="BY504" s="74"/>
      <c r="BZ504" s="74"/>
      <c r="CA504" s="74"/>
      <c r="CB504" s="74"/>
      <c r="CC504" s="74"/>
      <c r="CD504" s="74"/>
      <c r="CE504" s="74"/>
      <c r="CF504" s="74"/>
      <c r="CG504" s="74"/>
      <c r="CH504" s="74"/>
      <c r="CI504" s="74"/>
      <c r="CJ504" s="74"/>
      <c r="CK504" s="74"/>
      <c r="CL504" s="74"/>
      <c r="CM504" s="74"/>
      <c r="CN504" s="74"/>
      <c r="CO504" s="74"/>
      <c r="CP504" s="74"/>
      <c r="CQ504" s="74"/>
      <c r="CR504" s="74"/>
      <c r="CS504" s="74"/>
      <c r="CT504" s="74"/>
      <c r="CU504" s="74"/>
      <c r="CV504" s="74"/>
      <c r="CW504" s="74"/>
      <c r="CX504" s="74"/>
      <c r="CY504" s="74"/>
      <c r="CZ504" s="74"/>
      <c r="DA504" s="74"/>
      <c r="DB504" s="74"/>
      <c r="DC504" s="74"/>
    </row>
    <row r="505" spans="15:107" customFormat="1" x14ac:dyDescent="0.35">
      <c r="O505" s="76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74"/>
      <c r="AT505" s="74"/>
      <c r="AU505" s="74"/>
      <c r="AV505" s="74"/>
      <c r="AW505" s="74"/>
      <c r="AX505" s="74"/>
      <c r="AY505" s="74"/>
      <c r="AZ505" s="74"/>
      <c r="BA505" s="74"/>
      <c r="BB505" s="74"/>
      <c r="BC505" s="74"/>
      <c r="BD505" s="74"/>
      <c r="BE505" s="74"/>
      <c r="BF505" s="74"/>
      <c r="BG505" s="74"/>
      <c r="BH505" s="74"/>
      <c r="BI505" s="74"/>
      <c r="BJ505" s="74"/>
      <c r="BK505" s="74"/>
      <c r="BL505" s="74"/>
      <c r="BM505" s="74"/>
      <c r="BN505" s="74"/>
      <c r="BO505" s="74"/>
      <c r="BP505" s="74"/>
      <c r="BQ505" s="74"/>
      <c r="BR505" s="74"/>
      <c r="BS505" s="74"/>
      <c r="BT505" s="74"/>
      <c r="BU505" s="74"/>
      <c r="BV505" s="74"/>
      <c r="BW505" s="74"/>
      <c r="BX505" s="74"/>
      <c r="BY505" s="74"/>
      <c r="BZ505" s="74"/>
      <c r="CA505" s="74"/>
      <c r="CB505" s="74"/>
      <c r="CC505" s="74"/>
      <c r="CD505" s="74"/>
      <c r="CE505" s="74"/>
      <c r="CF505" s="74"/>
      <c r="CG505" s="74"/>
      <c r="CH505" s="74"/>
      <c r="CI505" s="74"/>
      <c r="CJ505" s="74"/>
      <c r="CK505" s="74"/>
      <c r="CL505" s="74"/>
      <c r="CM505" s="74"/>
      <c r="CN505" s="74"/>
      <c r="CO505" s="74"/>
      <c r="CP505" s="74"/>
      <c r="CQ505" s="74"/>
      <c r="CR505" s="74"/>
      <c r="CS505" s="74"/>
      <c r="CT505" s="74"/>
      <c r="CU505" s="74"/>
      <c r="CV505" s="74"/>
      <c r="CW505" s="74"/>
      <c r="CX505" s="74"/>
      <c r="CY505" s="74"/>
      <c r="CZ505" s="74"/>
      <c r="DA505" s="74"/>
      <c r="DB505" s="74"/>
      <c r="DC505" s="74"/>
    </row>
    <row r="506" spans="15:107" customFormat="1" x14ac:dyDescent="0.35">
      <c r="O506" s="76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  <c r="AX506" s="74"/>
      <c r="AY506" s="74"/>
      <c r="AZ506" s="74"/>
      <c r="BA506" s="74"/>
      <c r="BB506" s="74"/>
      <c r="BC506" s="74"/>
      <c r="BD506" s="74"/>
      <c r="BE506" s="74"/>
      <c r="BF506" s="74"/>
      <c r="BG506" s="74"/>
      <c r="BH506" s="74"/>
      <c r="BI506" s="74"/>
      <c r="BJ506" s="74"/>
      <c r="BK506" s="74"/>
      <c r="BL506" s="74"/>
      <c r="BM506" s="74"/>
      <c r="BN506" s="74"/>
      <c r="BO506" s="74"/>
      <c r="BP506" s="74"/>
      <c r="BQ506" s="74"/>
      <c r="BR506" s="74"/>
      <c r="BS506" s="74"/>
      <c r="BT506" s="74"/>
      <c r="BU506" s="74"/>
      <c r="BV506" s="74"/>
      <c r="BW506" s="74"/>
      <c r="BX506" s="74"/>
      <c r="BY506" s="74"/>
      <c r="BZ506" s="74"/>
      <c r="CA506" s="74"/>
      <c r="CB506" s="74"/>
      <c r="CC506" s="74"/>
      <c r="CD506" s="74"/>
      <c r="CE506" s="74"/>
      <c r="CF506" s="74"/>
      <c r="CG506" s="74"/>
      <c r="CH506" s="74"/>
      <c r="CI506" s="74"/>
      <c r="CJ506" s="74"/>
      <c r="CK506" s="74"/>
      <c r="CL506" s="74"/>
      <c r="CM506" s="74"/>
      <c r="CN506" s="74"/>
      <c r="CO506" s="74"/>
      <c r="CP506" s="74"/>
      <c r="CQ506" s="74"/>
      <c r="CR506" s="74"/>
      <c r="CS506" s="74"/>
      <c r="CT506" s="74"/>
      <c r="CU506" s="74"/>
      <c r="CV506" s="74"/>
      <c r="CW506" s="74"/>
      <c r="CX506" s="74"/>
      <c r="CY506" s="74"/>
      <c r="CZ506" s="74"/>
      <c r="DA506" s="74"/>
      <c r="DB506" s="74"/>
      <c r="DC506" s="74"/>
    </row>
    <row r="507" spans="15:107" customFormat="1" x14ac:dyDescent="0.35">
      <c r="O507" s="76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  <c r="AX507" s="74"/>
      <c r="AY507" s="74"/>
      <c r="AZ507" s="74"/>
      <c r="BA507" s="74"/>
      <c r="BB507" s="74"/>
      <c r="BC507" s="74"/>
      <c r="BD507" s="74"/>
      <c r="BE507" s="74"/>
      <c r="BF507" s="74"/>
      <c r="BG507" s="74"/>
      <c r="BH507" s="74"/>
      <c r="BI507" s="74"/>
      <c r="BJ507" s="74"/>
      <c r="BK507" s="74"/>
      <c r="BL507" s="74"/>
      <c r="BM507" s="74"/>
      <c r="BN507" s="74"/>
      <c r="BO507" s="74"/>
      <c r="BP507" s="74"/>
      <c r="BQ507" s="74"/>
      <c r="BR507" s="74"/>
      <c r="BS507" s="74"/>
      <c r="BT507" s="74"/>
      <c r="BU507" s="74"/>
      <c r="BV507" s="74"/>
      <c r="BW507" s="74"/>
      <c r="BX507" s="74"/>
      <c r="BY507" s="74"/>
      <c r="BZ507" s="74"/>
      <c r="CA507" s="74"/>
      <c r="CB507" s="74"/>
      <c r="CC507" s="74"/>
      <c r="CD507" s="74"/>
      <c r="CE507" s="74"/>
      <c r="CF507" s="74"/>
      <c r="CG507" s="74"/>
      <c r="CH507" s="74"/>
      <c r="CI507" s="74"/>
      <c r="CJ507" s="74"/>
      <c r="CK507" s="74"/>
      <c r="CL507" s="74"/>
      <c r="CM507" s="74"/>
      <c r="CN507" s="74"/>
      <c r="CO507" s="74"/>
      <c r="CP507" s="74"/>
      <c r="CQ507" s="74"/>
      <c r="CR507" s="74"/>
      <c r="CS507" s="74"/>
      <c r="CT507" s="74"/>
      <c r="CU507" s="74"/>
      <c r="CV507" s="74"/>
      <c r="CW507" s="74"/>
      <c r="CX507" s="74"/>
      <c r="CY507" s="74"/>
      <c r="CZ507" s="74"/>
      <c r="DA507" s="74"/>
      <c r="DB507" s="74"/>
      <c r="DC507" s="74"/>
    </row>
    <row r="508" spans="15:107" customFormat="1" x14ac:dyDescent="0.35">
      <c r="O508" s="76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  <c r="AX508" s="74"/>
      <c r="AY508" s="74"/>
      <c r="AZ508" s="74"/>
      <c r="BA508" s="74"/>
      <c r="BB508" s="74"/>
      <c r="BC508" s="74"/>
      <c r="BD508" s="74"/>
      <c r="BE508" s="74"/>
      <c r="BF508" s="74"/>
      <c r="BG508" s="74"/>
      <c r="BH508" s="74"/>
      <c r="BI508" s="74"/>
      <c r="BJ508" s="74"/>
      <c r="BK508" s="74"/>
      <c r="BL508" s="74"/>
      <c r="BM508" s="74"/>
      <c r="BN508" s="74"/>
      <c r="BO508" s="74"/>
      <c r="BP508" s="74"/>
      <c r="BQ508" s="74"/>
      <c r="BR508" s="74"/>
      <c r="BS508" s="74"/>
      <c r="BT508" s="74"/>
      <c r="BU508" s="74"/>
      <c r="BV508" s="74"/>
      <c r="BW508" s="74"/>
      <c r="BX508" s="74"/>
      <c r="BY508" s="74"/>
      <c r="BZ508" s="74"/>
      <c r="CA508" s="74"/>
      <c r="CB508" s="74"/>
      <c r="CC508" s="74"/>
      <c r="CD508" s="74"/>
      <c r="CE508" s="74"/>
      <c r="CF508" s="74"/>
      <c r="CG508" s="74"/>
      <c r="CH508" s="74"/>
      <c r="CI508" s="74"/>
      <c r="CJ508" s="74"/>
      <c r="CK508" s="74"/>
      <c r="CL508" s="74"/>
      <c r="CM508" s="74"/>
      <c r="CN508" s="74"/>
      <c r="CO508" s="74"/>
      <c r="CP508" s="74"/>
      <c r="CQ508" s="74"/>
      <c r="CR508" s="74"/>
      <c r="CS508" s="74"/>
      <c r="CT508" s="74"/>
      <c r="CU508" s="74"/>
      <c r="CV508" s="74"/>
      <c r="CW508" s="74"/>
      <c r="CX508" s="74"/>
      <c r="CY508" s="74"/>
      <c r="CZ508" s="74"/>
      <c r="DA508" s="74"/>
      <c r="DB508" s="74"/>
      <c r="DC508" s="74"/>
    </row>
    <row r="509" spans="15:107" customFormat="1" x14ac:dyDescent="0.35">
      <c r="O509" s="76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  <c r="BA509" s="74"/>
      <c r="BB509" s="74"/>
      <c r="BC509" s="74"/>
      <c r="BD509" s="74"/>
      <c r="BE509" s="74"/>
      <c r="BF509" s="74"/>
      <c r="BG509" s="74"/>
      <c r="BH509" s="74"/>
      <c r="BI509" s="74"/>
      <c r="BJ509" s="74"/>
      <c r="BK509" s="74"/>
      <c r="BL509" s="74"/>
      <c r="BM509" s="74"/>
      <c r="BN509" s="74"/>
      <c r="BO509" s="74"/>
      <c r="BP509" s="74"/>
      <c r="BQ509" s="74"/>
      <c r="BR509" s="74"/>
      <c r="BS509" s="74"/>
      <c r="BT509" s="74"/>
      <c r="BU509" s="74"/>
      <c r="BV509" s="74"/>
      <c r="BW509" s="74"/>
      <c r="BX509" s="74"/>
      <c r="BY509" s="74"/>
      <c r="BZ509" s="74"/>
      <c r="CA509" s="74"/>
      <c r="CB509" s="74"/>
      <c r="CC509" s="74"/>
      <c r="CD509" s="74"/>
      <c r="CE509" s="74"/>
      <c r="CF509" s="74"/>
      <c r="CG509" s="74"/>
      <c r="CH509" s="74"/>
      <c r="CI509" s="74"/>
      <c r="CJ509" s="74"/>
      <c r="CK509" s="74"/>
      <c r="CL509" s="74"/>
      <c r="CM509" s="74"/>
      <c r="CN509" s="74"/>
      <c r="CO509" s="74"/>
      <c r="CP509" s="74"/>
      <c r="CQ509" s="74"/>
      <c r="CR509" s="74"/>
      <c r="CS509" s="74"/>
      <c r="CT509" s="74"/>
      <c r="CU509" s="74"/>
      <c r="CV509" s="74"/>
      <c r="CW509" s="74"/>
      <c r="CX509" s="74"/>
      <c r="CY509" s="74"/>
      <c r="CZ509" s="74"/>
      <c r="DA509" s="74"/>
      <c r="DB509" s="74"/>
      <c r="DC509" s="74"/>
    </row>
    <row r="510" spans="15:107" customFormat="1" x14ac:dyDescent="0.35">
      <c r="O510" s="76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  <c r="AW510" s="74"/>
      <c r="AX510" s="74"/>
      <c r="AY510" s="74"/>
      <c r="AZ510" s="74"/>
      <c r="BA510" s="74"/>
      <c r="BB510" s="74"/>
      <c r="BC510" s="74"/>
      <c r="BD510" s="74"/>
      <c r="BE510" s="74"/>
      <c r="BF510" s="74"/>
      <c r="BG510" s="74"/>
      <c r="BH510" s="74"/>
      <c r="BI510" s="74"/>
      <c r="BJ510" s="74"/>
      <c r="BK510" s="74"/>
      <c r="BL510" s="74"/>
      <c r="BM510" s="74"/>
      <c r="BN510" s="74"/>
      <c r="BO510" s="74"/>
      <c r="BP510" s="74"/>
      <c r="BQ510" s="74"/>
      <c r="BR510" s="74"/>
      <c r="BS510" s="74"/>
      <c r="BT510" s="74"/>
      <c r="BU510" s="74"/>
      <c r="BV510" s="74"/>
      <c r="BW510" s="74"/>
      <c r="BX510" s="74"/>
      <c r="BY510" s="74"/>
      <c r="BZ510" s="74"/>
      <c r="CA510" s="74"/>
      <c r="CB510" s="74"/>
      <c r="CC510" s="74"/>
      <c r="CD510" s="74"/>
      <c r="CE510" s="74"/>
      <c r="CF510" s="74"/>
      <c r="CG510" s="74"/>
      <c r="CH510" s="74"/>
      <c r="CI510" s="74"/>
      <c r="CJ510" s="74"/>
      <c r="CK510" s="74"/>
      <c r="CL510" s="74"/>
      <c r="CM510" s="74"/>
      <c r="CN510" s="74"/>
      <c r="CO510" s="74"/>
      <c r="CP510" s="74"/>
      <c r="CQ510" s="74"/>
      <c r="CR510" s="74"/>
      <c r="CS510" s="74"/>
      <c r="CT510" s="74"/>
      <c r="CU510" s="74"/>
      <c r="CV510" s="74"/>
      <c r="CW510" s="74"/>
      <c r="CX510" s="74"/>
      <c r="CY510" s="74"/>
      <c r="CZ510" s="74"/>
      <c r="DA510" s="74"/>
      <c r="DB510" s="74"/>
      <c r="DC510" s="74"/>
    </row>
    <row r="511" spans="15:107" customFormat="1" x14ac:dyDescent="0.35">
      <c r="O511" s="76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  <c r="AS511" s="74"/>
      <c r="AT511" s="74"/>
      <c r="AU511" s="74"/>
      <c r="AV511" s="74"/>
      <c r="AW511" s="74"/>
      <c r="AX511" s="74"/>
      <c r="AY511" s="74"/>
      <c r="AZ511" s="74"/>
      <c r="BA511" s="74"/>
      <c r="BB511" s="74"/>
      <c r="BC511" s="74"/>
      <c r="BD511" s="74"/>
      <c r="BE511" s="74"/>
      <c r="BF511" s="74"/>
      <c r="BG511" s="74"/>
      <c r="BH511" s="74"/>
      <c r="BI511" s="74"/>
      <c r="BJ511" s="74"/>
      <c r="BK511" s="74"/>
      <c r="BL511" s="74"/>
      <c r="BM511" s="74"/>
      <c r="BN511" s="74"/>
      <c r="BO511" s="74"/>
      <c r="BP511" s="74"/>
      <c r="BQ511" s="74"/>
      <c r="BR511" s="74"/>
      <c r="BS511" s="74"/>
      <c r="BT511" s="74"/>
      <c r="BU511" s="74"/>
      <c r="BV511" s="74"/>
      <c r="BW511" s="74"/>
      <c r="BX511" s="74"/>
      <c r="BY511" s="74"/>
      <c r="BZ511" s="74"/>
      <c r="CA511" s="74"/>
      <c r="CB511" s="74"/>
      <c r="CC511" s="74"/>
      <c r="CD511" s="74"/>
      <c r="CE511" s="74"/>
      <c r="CF511" s="74"/>
      <c r="CG511" s="74"/>
      <c r="CH511" s="74"/>
      <c r="CI511" s="74"/>
      <c r="CJ511" s="74"/>
      <c r="CK511" s="74"/>
      <c r="CL511" s="74"/>
      <c r="CM511" s="74"/>
      <c r="CN511" s="74"/>
      <c r="CO511" s="74"/>
      <c r="CP511" s="74"/>
      <c r="CQ511" s="74"/>
      <c r="CR511" s="74"/>
      <c r="CS511" s="74"/>
      <c r="CT511" s="74"/>
      <c r="CU511" s="74"/>
      <c r="CV511" s="74"/>
      <c r="CW511" s="74"/>
      <c r="CX511" s="74"/>
      <c r="CY511" s="74"/>
      <c r="CZ511" s="74"/>
      <c r="DA511" s="74"/>
      <c r="DB511" s="74"/>
      <c r="DC511" s="74"/>
    </row>
    <row r="512" spans="15:107" customFormat="1" x14ac:dyDescent="0.35">
      <c r="O512" s="76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74"/>
      <c r="AT512" s="74"/>
      <c r="AU512" s="74"/>
      <c r="AV512" s="74"/>
      <c r="AW512" s="74"/>
      <c r="AX512" s="74"/>
      <c r="AY512" s="74"/>
      <c r="AZ512" s="74"/>
      <c r="BA512" s="74"/>
      <c r="BB512" s="74"/>
      <c r="BC512" s="74"/>
      <c r="BD512" s="74"/>
      <c r="BE512" s="74"/>
      <c r="BF512" s="74"/>
      <c r="BG512" s="74"/>
      <c r="BH512" s="74"/>
      <c r="BI512" s="74"/>
      <c r="BJ512" s="74"/>
      <c r="BK512" s="74"/>
      <c r="BL512" s="74"/>
      <c r="BM512" s="74"/>
      <c r="BN512" s="74"/>
      <c r="BO512" s="74"/>
      <c r="BP512" s="74"/>
      <c r="BQ512" s="74"/>
      <c r="BR512" s="74"/>
      <c r="BS512" s="74"/>
      <c r="BT512" s="74"/>
      <c r="BU512" s="74"/>
      <c r="BV512" s="74"/>
      <c r="BW512" s="74"/>
      <c r="BX512" s="74"/>
      <c r="BY512" s="74"/>
      <c r="BZ512" s="74"/>
      <c r="CA512" s="74"/>
      <c r="CB512" s="74"/>
      <c r="CC512" s="74"/>
      <c r="CD512" s="74"/>
      <c r="CE512" s="74"/>
      <c r="CF512" s="74"/>
      <c r="CG512" s="74"/>
      <c r="CH512" s="74"/>
      <c r="CI512" s="74"/>
      <c r="CJ512" s="74"/>
      <c r="CK512" s="74"/>
      <c r="CL512" s="74"/>
      <c r="CM512" s="74"/>
      <c r="CN512" s="74"/>
      <c r="CO512" s="74"/>
      <c r="CP512" s="74"/>
      <c r="CQ512" s="74"/>
      <c r="CR512" s="74"/>
      <c r="CS512" s="74"/>
      <c r="CT512" s="74"/>
      <c r="CU512" s="74"/>
      <c r="CV512" s="74"/>
      <c r="CW512" s="74"/>
      <c r="CX512" s="74"/>
      <c r="CY512" s="74"/>
      <c r="CZ512" s="74"/>
      <c r="DA512" s="74"/>
      <c r="DB512" s="74"/>
      <c r="DC512" s="74"/>
    </row>
    <row r="513" spans="15:107" customFormat="1" x14ac:dyDescent="0.35">
      <c r="O513" s="76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  <c r="AS513" s="74"/>
      <c r="AT513" s="74"/>
      <c r="AU513" s="74"/>
      <c r="AV513" s="74"/>
      <c r="AW513" s="74"/>
      <c r="AX513" s="74"/>
      <c r="AY513" s="74"/>
      <c r="AZ513" s="74"/>
      <c r="BA513" s="74"/>
      <c r="BB513" s="74"/>
      <c r="BC513" s="74"/>
      <c r="BD513" s="74"/>
      <c r="BE513" s="74"/>
      <c r="BF513" s="74"/>
      <c r="BG513" s="74"/>
      <c r="BH513" s="74"/>
      <c r="BI513" s="74"/>
      <c r="BJ513" s="74"/>
      <c r="BK513" s="74"/>
      <c r="BL513" s="74"/>
      <c r="BM513" s="74"/>
      <c r="BN513" s="74"/>
      <c r="BO513" s="74"/>
      <c r="BP513" s="74"/>
      <c r="BQ513" s="74"/>
      <c r="BR513" s="74"/>
      <c r="BS513" s="74"/>
      <c r="BT513" s="74"/>
      <c r="BU513" s="74"/>
      <c r="BV513" s="74"/>
      <c r="BW513" s="74"/>
      <c r="BX513" s="74"/>
      <c r="BY513" s="74"/>
      <c r="BZ513" s="74"/>
      <c r="CA513" s="74"/>
      <c r="CB513" s="74"/>
      <c r="CC513" s="74"/>
      <c r="CD513" s="74"/>
      <c r="CE513" s="74"/>
      <c r="CF513" s="74"/>
      <c r="CG513" s="74"/>
      <c r="CH513" s="74"/>
      <c r="CI513" s="74"/>
      <c r="CJ513" s="74"/>
      <c r="CK513" s="74"/>
      <c r="CL513" s="74"/>
      <c r="CM513" s="74"/>
      <c r="CN513" s="74"/>
      <c r="CO513" s="74"/>
      <c r="CP513" s="74"/>
      <c r="CQ513" s="74"/>
      <c r="CR513" s="74"/>
      <c r="CS513" s="74"/>
      <c r="CT513" s="74"/>
      <c r="CU513" s="74"/>
      <c r="CV513" s="74"/>
      <c r="CW513" s="74"/>
      <c r="CX513" s="74"/>
      <c r="CY513" s="74"/>
      <c r="CZ513" s="74"/>
      <c r="DA513" s="74"/>
      <c r="DB513" s="74"/>
      <c r="DC513" s="74"/>
    </row>
    <row r="514" spans="15:107" customFormat="1" x14ac:dyDescent="0.35">
      <c r="O514" s="76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  <c r="AS514" s="74"/>
      <c r="AT514" s="74"/>
      <c r="AU514" s="74"/>
      <c r="AV514" s="74"/>
      <c r="AW514" s="74"/>
      <c r="AX514" s="74"/>
      <c r="AY514" s="74"/>
      <c r="AZ514" s="74"/>
      <c r="BA514" s="74"/>
      <c r="BB514" s="74"/>
      <c r="BC514" s="74"/>
      <c r="BD514" s="74"/>
      <c r="BE514" s="74"/>
      <c r="BF514" s="74"/>
      <c r="BG514" s="74"/>
      <c r="BH514" s="74"/>
      <c r="BI514" s="74"/>
      <c r="BJ514" s="74"/>
      <c r="BK514" s="74"/>
      <c r="BL514" s="74"/>
      <c r="BM514" s="74"/>
      <c r="BN514" s="74"/>
      <c r="BO514" s="74"/>
      <c r="BP514" s="74"/>
      <c r="BQ514" s="74"/>
      <c r="BR514" s="74"/>
      <c r="BS514" s="74"/>
      <c r="BT514" s="74"/>
      <c r="BU514" s="74"/>
      <c r="BV514" s="74"/>
      <c r="BW514" s="74"/>
      <c r="BX514" s="74"/>
      <c r="BY514" s="74"/>
      <c r="BZ514" s="74"/>
      <c r="CA514" s="74"/>
      <c r="CB514" s="74"/>
      <c r="CC514" s="74"/>
      <c r="CD514" s="74"/>
      <c r="CE514" s="74"/>
      <c r="CF514" s="74"/>
      <c r="CG514" s="74"/>
      <c r="CH514" s="74"/>
      <c r="CI514" s="74"/>
      <c r="CJ514" s="74"/>
      <c r="CK514" s="74"/>
      <c r="CL514" s="74"/>
      <c r="CM514" s="74"/>
      <c r="CN514" s="74"/>
      <c r="CO514" s="74"/>
      <c r="CP514" s="74"/>
      <c r="CQ514" s="74"/>
      <c r="CR514" s="74"/>
      <c r="CS514" s="74"/>
      <c r="CT514" s="74"/>
      <c r="CU514" s="74"/>
      <c r="CV514" s="74"/>
      <c r="CW514" s="74"/>
      <c r="CX514" s="74"/>
      <c r="CY514" s="74"/>
      <c r="CZ514" s="74"/>
      <c r="DA514" s="74"/>
      <c r="DB514" s="74"/>
      <c r="DC514" s="74"/>
    </row>
    <row r="515" spans="15:107" customFormat="1" x14ac:dyDescent="0.35">
      <c r="O515" s="76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  <c r="AX515" s="74"/>
      <c r="AY515" s="74"/>
      <c r="AZ515" s="74"/>
      <c r="BA515" s="74"/>
      <c r="BB515" s="74"/>
      <c r="BC515" s="74"/>
      <c r="BD515" s="74"/>
      <c r="BE515" s="74"/>
      <c r="BF515" s="74"/>
      <c r="BG515" s="74"/>
      <c r="BH515" s="74"/>
      <c r="BI515" s="74"/>
      <c r="BJ515" s="74"/>
      <c r="BK515" s="74"/>
      <c r="BL515" s="74"/>
      <c r="BM515" s="74"/>
      <c r="BN515" s="74"/>
      <c r="BO515" s="74"/>
      <c r="BP515" s="74"/>
      <c r="BQ515" s="74"/>
      <c r="BR515" s="74"/>
      <c r="BS515" s="74"/>
      <c r="BT515" s="74"/>
      <c r="BU515" s="74"/>
      <c r="BV515" s="74"/>
      <c r="BW515" s="74"/>
      <c r="BX515" s="74"/>
      <c r="BY515" s="74"/>
      <c r="BZ515" s="74"/>
      <c r="CA515" s="74"/>
      <c r="CB515" s="74"/>
      <c r="CC515" s="74"/>
      <c r="CD515" s="74"/>
      <c r="CE515" s="74"/>
      <c r="CF515" s="74"/>
      <c r="CG515" s="74"/>
      <c r="CH515" s="74"/>
      <c r="CI515" s="74"/>
      <c r="CJ515" s="74"/>
      <c r="CK515" s="74"/>
      <c r="CL515" s="74"/>
      <c r="CM515" s="74"/>
      <c r="CN515" s="74"/>
      <c r="CO515" s="74"/>
      <c r="CP515" s="74"/>
      <c r="CQ515" s="74"/>
      <c r="CR515" s="74"/>
      <c r="CS515" s="74"/>
      <c r="CT515" s="74"/>
      <c r="CU515" s="74"/>
      <c r="CV515" s="74"/>
      <c r="CW515" s="74"/>
      <c r="CX515" s="74"/>
      <c r="CY515" s="74"/>
      <c r="CZ515" s="74"/>
      <c r="DA515" s="74"/>
      <c r="DB515" s="74"/>
      <c r="DC515" s="74"/>
    </row>
    <row r="516" spans="15:107" customFormat="1" x14ac:dyDescent="0.35">
      <c r="O516" s="76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74"/>
      <c r="AT516" s="74"/>
      <c r="AU516" s="74"/>
      <c r="AV516" s="74"/>
      <c r="AW516" s="74"/>
      <c r="AX516" s="74"/>
      <c r="AY516" s="74"/>
      <c r="AZ516" s="74"/>
      <c r="BA516" s="74"/>
      <c r="BB516" s="74"/>
      <c r="BC516" s="74"/>
      <c r="BD516" s="74"/>
      <c r="BE516" s="74"/>
      <c r="BF516" s="74"/>
      <c r="BG516" s="74"/>
      <c r="BH516" s="74"/>
      <c r="BI516" s="74"/>
      <c r="BJ516" s="74"/>
      <c r="BK516" s="74"/>
      <c r="BL516" s="74"/>
      <c r="BM516" s="74"/>
      <c r="BN516" s="74"/>
      <c r="BO516" s="74"/>
      <c r="BP516" s="74"/>
      <c r="BQ516" s="74"/>
      <c r="BR516" s="74"/>
      <c r="BS516" s="74"/>
      <c r="BT516" s="74"/>
      <c r="BU516" s="74"/>
      <c r="BV516" s="74"/>
      <c r="BW516" s="74"/>
      <c r="BX516" s="74"/>
      <c r="BY516" s="74"/>
      <c r="BZ516" s="74"/>
      <c r="CA516" s="74"/>
      <c r="CB516" s="74"/>
      <c r="CC516" s="74"/>
      <c r="CD516" s="74"/>
      <c r="CE516" s="74"/>
      <c r="CF516" s="74"/>
      <c r="CG516" s="74"/>
      <c r="CH516" s="74"/>
      <c r="CI516" s="74"/>
      <c r="CJ516" s="74"/>
      <c r="CK516" s="74"/>
      <c r="CL516" s="74"/>
      <c r="CM516" s="74"/>
      <c r="CN516" s="74"/>
      <c r="CO516" s="74"/>
      <c r="CP516" s="74"/>
      <c r="CQ516" s="74"/>
      <c r="CR516" s="74"/>
      <c r="CS516" s="74"/>
      <c r="CT516" s="74"/>
      <c r="CU516" s="74"/>
      <c r="CV516" s="74"/>
      <c r="CW516" s="74"/>
      <c r="CX516" s="74"/>
      <c r="CY516" s="74"/>
      <c r="CZ516" s="74"/>
      <c r="DA516" s="74"/>
      <c r="DB516" s="74"/>
      <c r="DC516" s="74"/>
    </row>
    <row r="517" spans="15:107" customFormat="1" x14ac:dyDescent="0.35">
      <c r="O517" s="76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  <c r="AS517" s="74"/>
      <c r="AT517" s="74"/>
      <c r="AU517" s="74"/>
      <c r="AV517" s="74"/>
      <c r="AW517" s="74"/>
      <c r="AX517" s="74"/>
      <c r="AY517" s="74"/>
      <c r="AZ517" s="74"/>
      <c r="BA517" s="74"/>
      <c r="BB517" s="74"/>
      <c r="BC517" s="74"/>
      <c r="BD517" s="74"/>
      <c r="BE517" s="74"/>
      <c r="BF517" s="74"/>
      <c r="BG517" s="74"/>
      <c r="BH517" s="74"/>
      <c r="BI517" s="74"/>
      <c r="BJ517" s="74"/>
      <c r="BK517" s="74"/>
      <c r="BL517" s="74"/>
      <c r="BM517" s="74"/>
      <c r="BN517" s="74"/>
      <c r="BO517" s="74"/>
      <c r="BP517" s="74"/>
      <c r="BQ517" s="74"/>
      <c r="BR517" s="74"/>
      <c r="BS517" s="74"/>
      <c r="BT517" s="74"/>
      <c r="BU517" s="74"/>
      <c r="BV517" s="74"/>
      <c r="BW517" s="74"/>
      <c r="BX517" s="74"/>
      <c r="BY517" s="74"/>
      <c r="BZ517" s="74"/>
      <c r="CA517" s="74"/>
      <c r="CB517" s="74"/>
      <c r="CC517" s="74"/>
      <c r="CD517" s="74"/>
      <c r="CE517" s="74"/>
      <c r="CF517" s="74"/>
      <c r="CG517" s="74"/>
      <c r="CH517" s="74"/>
      <c r="CI517" s="74"/>
      <c r="CJ517" s="74"/>
      <c r="CK517" s="74"/>
      <c r="CL517" s="74"/>
      <c r="CM517" s="74"/>
      <c r="CN517" s="74"/>
      <c r="CO517" s="74"/>
      <c r="CP517" s="74"/>
      <c r="CQ517" s="74"/>
      <c r="CR517" s="74"/>
      <c r="CS517" s="74"/>
      <c r="CT517" s="74"/>
      <c r="CU517" s="74"/>
      <c r="CV517" s="74"/>
      <c r="CW517" s="74"/>
      <c r="CX517" s="74"/>
      <c r="CY517" s="74"/>
      <c r="CZ517" s="74"/>
      <c r="DA517" s="74"/>
      <c r="DB517" s="74"/>
      <c r="DC517" s="74"/>
    </row>
    <row r="518" spans="15:107" customFormat="1" x14ac:dyDescent="0.35">
      <c r="O518" s="76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  <c r="AW518" s="74"/>
      <c r="AX518" s="74"/>
      <c r="AY518" s="74"/>
      <c r="AZ518" s="74"/>
      <c r="BA518" s="74"/>
      <c r="BB518" s="74"/>
      <c r="BC518" s="74"/>
      <c r="BD518" s="74"/>
      <c r="BE518" s="74"/>
      <c r="BF518" s="74"/>
      <c r="BG518" s="74"/>
      <c r="BH518" s="74"/>
      <c r="BI518" s="74"/>
      <c r="BJ518" s="74"/>
      <c r="BK518" s="74"/>
      <c r="BL518" s="74"/>
      <c r="BM518" s="74"/>
      <c r="BN518" s="74"/>
      <c r="BO518" s="74"/>
      <c r="BP518" s="74"/>
      <c r="BQ518" s="74"/>
      <c r="BR518" s="74"/>
      <c r="BS518" s="74"/>
      <c r="BT518" s="74"/>
      <c r="BU518" s="74"/>
      <c r="BV518" s="74"/>
      <c r="BW518" s="74"/>
      <c r="BX518" s="74"/>
      <c r="BY518" s="74"/>
      <c r="BZ518" s="74"/>
      <c r="CA518" s="74"/>
      <c r="CB518" s="74"/>
      <c r="CC518" s="74"/>
      <c r="CD518" s="74"/>
      <c r="CE518" s="74"/>
      <c r="CF518" s="74"/>
      <c r="CG518" s="74"/>
      <c r="CH518" s="74"/>
      <c r="CI518" s="74"/>
      <c r="CJ518" s="74"/>
      <c r="CK518" s="74"/>
      <c r="CL518" s="74"/>
      <c r="CM518" s="74"/>
      <c r="CN518" s="74"/>
      <c r="CO518" s="74"/>
      <c r="CP518" s="74"/>
      <c r="CQ518" s="74"/>
      <c r="CR518" s="74"/>
      <c r="CS518" s="74"/>
      <c r="CT518" s="74"/>
      <c r="CU518" s="74"/>
      <c r="CV518" s="74"/>
      <c r="CW518" s="74"/>
      <c r="CX518" s="74"/>
      <c r="CY518" s="74"/>
      <c r="CZ518" s="74"/>
      <c r="DA518" s="74"/>
      <c r="DB518" s="74"/>
      <c r="DC518" s="74"/>
    </row>
    <row r="519" spans="15:107" customFormat="1" x14ac:dyDescent="0.35">
      <c r="O519" s="76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  <c r="AS519" s="74"/>
      <c r="AT519" s="74"/>
      <c r="AU519" s="74"/>
      <c r="AV519" s="74"/>
      <c r="AW519" s="74"/>
      <c r="AX519" s="74"/>
      <c r="AY519" s="74"/>
      <c r="AZ519" s="74"/>
      <c r="BA519" s="74"/>
      <c r="BB519" s="74"/>
      <c r="BC519" s="74"/>
      <c r="BD519" s="74"/>
      <c r="BE519" s="74"/>
      <c r="BF519" s="74"/>
      <c r="BG519" s="74"/>
      <c r="BH519" s="74"/>
      <c r="BI519" s="74"/>
      <c r="BJ519" s="74"/>
      <c r="BK519" s="74"/>
      <c r="BL519" s="74"/>
      <c r="BM519" s="74"/>
      <c r="BN519" s="74"/>
      <c r="BO519" s="74"/>
      <c r="BP519" s="74"/>
      <c r="BQ519" s="74"/>
      <c r="BR519" s="74"/>
      <c r="BS519" s="74"/>
      <c r="BT519" s="74"/>
      <c r="BU519" s="74"/>
      <c r="BV519" s="74"/>
      <c r="BW519" s="74"/>
      <c r="BX519" s="74"/>
      <c r="BY519" s="74"/>
      <c r="BZ519" s="74"/>
      <c r="CA519" s="74"/>
      <c r="CB519" s="74"/>
      <c r="CC519" s="74"/>
      <c r="CD519" s="74"/>
      <c r="CE519" s="74"/>
      <c r="CF519" s="74"/>
      <c r="CG519" s="74"/>
      <c r="CH519" s="74"/>
      <c r="CI519" s="74"/>
      <c r="CJ519" s="74"/>
      <c r="CK519" s="74"/>
      <c r="CL519" s="74"/>
      <c r="CM519" s="74"/>
      <c r="CN519" s="74"/>
      <c r="CO519" s="74"/>
      <c r="CP519" s="74"/>
      <c r="CQ519" s="74"/>
      <c r="CR519" s="74"/>
      <c r="CS519" s="74"/>
      <c r="CT519" s="74"/>
      <c r="CU519" s="74"/>
      <c r="CV519" s="74"/>
      <c r="CW519" s="74"/>
      <c r="CX519" s="74"/>
      <c r="CY519" s="74"/>
      <c r="CZ519" s="74"/>
      <c r="DA519" s="74"/>
      <c r="DB519" s="74"/>
      <c r="DC519" s="74"/>
    </row>
    <row r="520" spans="15:107" customFormat="1" x14ac:dyDescent="0.35">
      <c r="O520" s="76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  <c r="AX520" s="74"/>
      <c r="AY520" s="74"/>
      <c r="AZ520" s="74"/>
      <c r="BA520" s="74"/>
      <c r="BB520" s="74"/>
      <c r="BC520" s="74"/>
      <c r="BD520" s="74"/>
      <c r="BE520" s="74"/>
      <c r="BF520" s="74"/>
      <c r="BG520" s="74"/>
      <c r="BH520" s="74"/>
      <c r="BI520" s="74"/>
      <c r="BJ520" s="74"/>
      <c r="BK520" s="74"/>
      <c r="BL520" s="74"/>
      <c r="BM520" s="74"/>
      <c r="BN520" s="74"/>
      <c r="BO520" s="74"/>
      <c r="BP520" s="74"/>
      <c r="BQ520" s="74"/>
      <c r="BR520" s="74"/>
      <c r="BS520" s="74"/>
      <c r="BT520" s="74"/>
      <c r="BU520" s="74"/>
      <c r="BV520" s="74"/>
      <c r="BW520" s="74"/>
      <c r="BX520" s="74"/>
      <c r="BY520" s="74"/>
      <c r="BZ520" s="74"/>
      <c r="CA520" s="74"/>
      <c r="CB520" s="74"/>
      <c r="CC520" s="74"/>
      <c r="CD520" s="74"/>
      <c r="CE520" s="74"/>
      <c r="CF520" s="74"/>
      <c r="CG520" s="74"/>
      <c r="CH520" s="74"/>
      <c r="CI520" s="74"/>
      <c r="CJ520" s="74"/>
      <c r="CK520" s="74"/>
      <c r="CL520" s="74"/>
      <c r="CM520" s="74"/>
      <c r="CN520" s="74"/>
      <c r="CO520" s="74"/>
      <c r="CP520" s="74"/>
      <c r="CQ520" s="74"/>
      <c r="CR520" s="74"/>
      <c r="CS520" s="74"/>
      <c r="CT520" s="74"/>
      <c r="CU520" s="74"/>
      <c r="CV520" s="74"/>
      <c r="CW520" s="74"/>
      <c r="CX520" s="74"/>
      <c r="CY520" s="74"/>
      <c r="CZ520" s="74"/>
      <c r="DA520" s="74"/>
      <c r="DB520" s="74"/>
      <c r="DC520" s="74"/>
    </row>
    <row r="521" spans="15:107" customFormat="1" x14ac:dyDescent="0.35">
      <c r="O521" s="76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74"/>
      <c r="AT521" s="74"/>
      <c r="AU521" s="74"/>
      <c r="AV521" s="74"/>
      <c r="AW521" s="74"/>
      <c r="AX521" s="74"/>
      <c r="AY521" s="74"/>
      <c r="AZ521" s="74"/>
      <c r="BA521" s="74"/>
      <c r="BB521" s="74"/>
      <c r="BC521" s="74"/>
      <c r="BD521" s="74"/>
      <c r="BE521" s="74"/>
      <c r="BF521" s="74"/>
      <c r="BG521" s="74"/>
      <c r="BH521" s="74"/>
      <c r="BI521" s="74"/>
      <c r="BJ521" s="74"/>
      <c r="BK521" s="74"/>
      <c r="BL521" s="74"/>
      <c r="BM521" s="74"/>
      <c r="BN521" s="74"/>
      <c r="BO521" s="74"/>
      <c r="BP521" s="74"/>
      <c r="BQ521" s="74"/>
      <c r="BR521" s="74"/>
      <c r="BS521" s="74"/>
      <c r="BT521" s="74"/>
      <c r="BU521" s="74"/>
      <c r="BV521" s="74"/>
      <c r="BW521" s="74"/>
      <c r="BX521" s="74"/>
      <c r="BY521" s="74"/>
      <c r="BZ521" s="74"/>
      <c r="CA521" s="74"/>
      <c r="CB521" s="74"/>
      <c r="CC521" s="74"/>
      <c r="CD521" s="74"/>
      <c r="CE521" s="74"/>
      <c r="CF521" s="74"/>
      <c r="CG521" s="74"/>
      <c r="CH521" s="74"/>
      <c r="CI521" s="74"/>
      <c r="CJ521" s="74"/>
      <c r="CK521" s="74"/>
      <c r="CL521" s="74"/>
      <c r="CM521" s="74"/>
      <c r="CN521" s="74"/>
      <c r="CO521" s="74"/>
      <c r="CP521" s="74"/>
      <c r="CQ521" s="74"/>
      <c r="CR521" s="74"/>
      <c r="CS521" s="74"/>
      <c r="CT521" s="74"/>
      <c r="CU521" s="74"/>
      <c r="CV521" s="74"/>
      <c r="CW521" s="74"/>
      <c r="CX521" s="74"/>
      <c r="CY521" s="74"/>
      <c r="CZ521" s="74"/>
      <c r="DA521" s="74"/>
      <c r="DB521" s="74"/>
      <c r="DC521" s="74"/>
    </row>
    <row r="522" spans="15:107" customFormat="1" x14ac:dyDescent="0.35">
      <c r="O522" s="76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  <c r="AS522" s="74"/>
      <c r="AT522" s="74"/>
      <c r="AU522" s="74"/>
      <c r="AV522" s="74"/>
      <c r="AW522" s="74"/>
      <c r="AX522" s="74"/>
      <c r="AY522" s="74"/>
      <c r="AZ522" s="74"/>
      <c r="BA522" s="74"/>
      <c r="BB522" s="74"/>
      <c r="BC522" s="74"/>
      <c r="BD522" s="74"/>
      <c r="BE522" s="74"/>
      <c r="BF522" s="74"/>
      <c r="BG522" s="74"/>
      <c r="BH522" s="74"/>
      <c r="BI522" s="74"/>
      <c r="BJ522" s="74"/>
      <c r="BK522" s="74"/>
      <c r="BL522" s="74"/>
      <c r="BM522" s="74"/>
      <c r="BN522" s="74"/>
      <c r="BO522" s="74"/>
      <c r="BP522" s="74"/>
      <c r="BQ522" s="74"/>
      <c r="BR522" s="74"/>
      <c r="BS522" s="74"/>
      <c r="BT522" s="74"/>
      <c r="BU522" s="74"/>
      <c r="BV522" s="74"/>
      <c r="BW522" s="74"/>
      <c r="BX522" s="74"/>
      <c r="BY522" s="74"/>
      <c r="BZ522" s="74"/>
      <c r="CA522" s="74"/>
      <c r="CB522" s="74"/>
      <c r="CC522" s="74"/>
      <c r="CD522" s="74"/>
      <c r="CE522" s="74"/>
      <c r="CF522" s="74"/>
      <c r="CG522" s="74"/>
      <c r="CH522" s="74"/>
      <c r="CI522" s="74"/>
      <c r="CJ522" s="74"/>
      <c r="CK522" s="74"/>
      <c r="CL522" s="74"/>
      <c r="CM522" s="74"/>
      <c r="CN522" s="74"/>
      <c r="CO522" s="74"/>
      <c r="CP522" s="74"/>
      <c r="CQ522" s="74"/>
      <c r="CR522" s="74"/>
      <c r="CS522" s="74"/>
      <c r="CT522" s="74"/>
      <c r="CU522" s="74"/>
      <c r="CV522" s="74"/>
      <c r="CW522" s="74"/>
      <c r="CX522" s="74"/>
      <c r="CY522" s="74"/>
      <c r="CZ522" s="74"/>
      <c r="DA522" s="74"/>
      <c r="DB522" s="74"/>
      <c r="DC522" s="74"/>
    </row>
    <row r="523" spans="15:107" customFormat="1" x14ac:dyDescent="0.35">
      <c r="O523" s="76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  <c r="AS523" s="74"/>
      <c r="AT523" s="74"/>
      <c r="AU523" s="74"/>
      <c r="AV523" s="74"/>
      <c r="AW523" s="74"/>
      <c r="AX523" s="74"/>
      <c r="AY523" s="74"/>
      <c r="AZ523" s="74"/>
      <c r="BA523" s="74"/>
      <c r="BB523" s="74"/>
      <c r="BC523" s="74"/>
      <c r="BD523" s="74"/>
      <c r="BE523" s="74"/>
      <c r="BF523" s="74"/>
      <c r="BG523" s="74"/>
      <c r="BH523" s="74"/>
      <c r="BI523" s="74"/>
      <c r="BJ523" s="74"/>
      <c r="BK523" s="74"/>
      <c r="BL523" s="74"/>
      <c r="BM523" s="74"/>
      <c r="BN523" s="74"/>
      <c r="BO523" s="74"/>
      <c r="BP523" s="74"/>
      <c r="BQ523" s="74"/>
      <c r="BR523" s="74"/>
      <c r="BS523" s="74"/>
      <c r="BT523" s="74"/>
      <c r="BU523" s="74"/>
      <c r="BV523" s="74"/>
      <c r="BW523" s="74"/>
      <c r="BX523" s="74"/>
      <c r="BY523" s="74"/>
      <c r="BZ523" s="74"/>
      <c r="CA523" s="74"/>
      <c r="CB523" s="74"/>
      <c r="CC523" s="74"/>
      <c r="CD523" s="74"/>
      <c r="CE523" s="74"/>
      <c r="CF523" s="74"/>
      <c r="CG523" s="74"/>
      <c r="CH523" s="74"/>
      <c r="CI523" s="74"/>
      <c r="CJ523" s="74"/>
      <c r="CK523" s="74"/>
      <c r="CL523" s="74"/>
      <c r="CM523" s="74"/>
      <c r="CN523" s="74"/>
      <c r="CO523" s="74"/>
      <c r="CP523" s="74"/>
      <c r="CQ523" s="74"/>
      <c r="CR523" s="74"/>
      <c r="CS523" s="74"/>
      <c r="CT523" s="74"/>
      <c r="CU523" s="74"/>
      <c r="CV523" s="74"/>
      <c r="CW523" s="74"/>
      <c r="CX523" s="74"/>
      <c r="CY523" s="74"/>
      <c r="CZ523" s="74"/>
      <c r="DA523" s="74"/>
      <c r="DB523" s="74"/>
      <c r="DC523" s="74"/>
    </row>
    <row r="524" spans="15:107" customFormat="1" x14ac:dyDescent="0.35">
      <c r="O524" s="76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74"/>
      <c r="AT524" s="74"/>
      <c r="AU524" s="74"/>
      <c r="AV524" s="74"/>
      <c r="AW524" s="74"/>
      <c r="AX524" s="74"/>
      <c r="AY524" s="74"/>
      <c r="AZ524" s="74"/>
      <c r="BA524" s="74"/>
      <c r="BB524" s="74"/>
      <c r="BC524" s="74"/>
      <c r="BD524" s="74"/>
      <c r="BE524" s="74"/>
      <c r="BF524" s="74"/>
      <c r="BG524" s="74"/>
      <c r="BH524" s="74"/>
      <c r="BI524" s="74"/>
      <c r="BJ524" s="74"/>
      <c r="BK524" s="74"/>
      <c r="BL524" s="74"/>
      <c r="BM524" s="74"/>
      <c r="BN524" s="74"/>
      <c r="BO524" s="74"/>
      <c r="BP524" s="74"/>
      <c r="BQ524" s="74"/>
      <c r="BR524" s="74"/>
      <c r="BS524" s="74"/>
      <c r="BT524" s="74"/>
      <c r="BU524" s="74"/>
      <c r="BV524" s="74"/>
      <c r="BW524" s="74"/>
      <c r="BX524" s="74"/>
      <c r="BY524" s="74"/>
      <c r="BZ524" s="74"/>
      <c r="CA524" s="74"/>
      <c r="CB524" s="74"/>
      <c r="CC524" s="74"/>
      <c r="CD524" s="74"/>
      <c r="CE524" s="74"/>
      <c r="CF524" s="74"/>
      <c r="CG524" s="74"/>
      <c r="CH524" s="74"/>
      <c r="CI524" s="74"/>
      <c r="CJ524" s="74"/>
      <c r="CK524" s="74"/>
      <c r="CL524" s="74"/>
      <c r="CM524" s="74"/>
      <c r="CN524" s="74"/>
      <c r="CO524" s="74"/>
      <c r="CP524" s="74"/>
      <c r="CQ524" s="74"/>
      <c r="CR524" s="74"/>
      <c r="CS524" s="74"/>
      <c r="CT524" s="74"/>
      <c r="CU524" s="74"/>
      <c r="CV524" s="74"/>
      <c r="CW524" s="74"/>
      <c r="CX524" s="74"/>
      <c r="CY524" s="74"/>
      <c r="CZ524" s="74"/>
      <c r="DA524" s="74"/>
      <c r="DB524" s="74"/>
      <c r="DC524" s="74"/>
    </row>
    <row r="525" spans="15:107" customFormat="1" x14ac:dyDescent="0.35">
      <c r="O525" s="76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74"/>
      <c r="AT525" s="74"/>
      <c r="AU525" s="74"/>
      <c r="AV525" s="74"/>
      <c r="AW525" s="74"/>
      <c r="AX525" s="74"/>
      <c r="AY525" s="74"/>
      <c r="AZ525" s="74"/>
      <c r="BA525" s="74"/>
      <c r="BB525" s="74"/>
      <c r="BC525" s="74"/>
      <c r="BD525" s="74"/>
      <c r="BE525" s="74"/>
      <c r="BF525" s="74"/>
      <c r="BG525" s="74"/>
      <c r="BH525" s="74"/>
      <c r="BI525" s="74"/>
      <c r="BJ525" s="74"/>
      <c r="BK525" s="74"/>
      <c r="BL525" s="74"/>
      <c r="BM525" s="74"/>
      <c r="BN525" s="74"/>
      <c r="BO525" s="74"/>
      <c r="BP525" s="74"/>
      <c r="BQ525" s="74"/>
      <c r="BR525" s="74"/>
      <c r="BS525" s="74"/>
      <c r="BT525" s="74"/>
      <c r="BU525" s="74"/>
      <c r="BV525" s="74"/>
      <c r="BW525" s="74"/>
      <c r="BX525" s="74"/>
      <c r="BY525" s="74"/>
      <c r="BZ525" s="74"/>
      <c r="CA525" s="74"/>
      <c r="CB525" s="74"/>
      <c r="CC525" s="74"/>
      <c r="CD525" s="74"/>
      <c r="CE525" s="74"/>
      <c r="CF525" s="74"/>
      <c r="CG525" s="74"/>
      <c r="CH525" s="74"/>
      <c r="CI525" s="74"/>
      <c r="CJ525" s="74"/>
      <c r="CK525" s="74"/>
      <c r="CL525" s="74"/>
      <c r="CM525" s="74"/>
      <c r="CN525" s="74"/>
      <c r="CO525" s="74"/>
      <c r="CP525" s="74"/>
      <c r="CQ525" s="74"/>
      <c r="CR525" s="74"/>
      <c r="CS525" s="74"/>
      <c r="CT525" s="74"/>
      <c r="CU525" s="74"/>
      <c r="CV525" s="74"/>
      <c r="CW525" s="74"/>
      <c r="CX525" s="74"/>
      <c r="CY525" s="74"/>
      <c r="CZ525" s="74"/>
      <c r="DA525" s="74"/>
      <c r="DB525" s="74"/>
      <c r="DC525" s="74"/>
    </row>
    <row r="526" spans="15:107" customFormat="1" x14ac:dyDescent="0.35">
      <c r="O526" s="76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/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74"/>
      <c r="BJ526" s="74"/>
      <c r="BK526" s="74"/>
      <c r="BL526" s="74"/>
      <c r="BM526" s="74"/>
      <c r="BN526" s="74"/>
      <c r="BO526" s="74"/>
      <c r="BP526" s="74"/>
      <c r="BQ526" s="74"/>
      <c r="BR526" s="74"/>
      <c r="BS526" s="74"/>
      <c r="BT526" s="74"/>
      <c r="BU526" s="74"/>
      <c r="BV526" s="74"/>
      <c r="BW526" s="74"/>
      <c r="BX526" s="74"/>
      <c r="BY526" s="74"/>
      <c r="BZ526" s="74"/>
      <c r="CA526" s="74"/>
      <c r="CB526" s="74"/>
      <c r="CC526" s="74"/>
      <c r="CD526" s="74"/>
      <c r="CE526" s="74"/>
      <c r="CF526" s="74"/>
      <c r="CG526" s="74"/>
      <c r="CH526" s="74"/>
      <c r="CI526" s="74"/>
      <c r="CJ526" s="74"/>
      <c r="CK526" s="74"/>
      <c r="CL526" s="74"/>
      <c r="CM526" s="74"/>
      <c r="CN526" s="74"/>
      <c r="CO526" s="74"/>
      <c r="CP526" s="74"/>
      <c r="CQ526" s="74"/>
      <c r="CR526" s="74"/>
      <c r="CS526" s="74"/>
      <c r="CT526" s="74"/>
      <c r="CU526" s="74"/>
      <c r="CV526" s="74"/>
      <c r="CW526" s="74"/>
      <c r="CX526" s="74"/>
      <c r="CY526" s="74"/>
      <c r="CZ526" s="74"/>
      <c r="DA526" s="74"/>
      <c r="DB526" s="74"/>
      <c r="DC526" s="74"/>
    </row>
    <row r="527" spans="15:107" customFormat="1" x14ac:dyDescent="0.35">
      <c r="O527" s="76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74"/>
      <c r="BJ527" s="74"/>
      <c r="BK527" s="74"/>
      <c r="BL527" s="74"/>
      <c r="BM527" s="74"/>
      <c r="BN527" s="74"/>
      <c r="BO527" s="74"/>
      <c r="BP527" s="74"/>
      <c r="BQ527" s="74"/>
      <c r="BR527" s="74"/>
      <c r="BS527" s="74"/>
      <c r="BT527" s="74"/>
      <c r="BU527" s="74"/>
      <c r="BV527" s="74"/>
      <c r="BW527" s="74"/>
      <c r="BX527" s="74"/>
      <c r="BY527" s="74"/>
      <c r="BZ527" s="74"/>
      <c r="CA527" s="74"/>
      <c r="CB527" s="74"/>
      <c r="CC527" s="74"/>
      <c r="CD527" s="74"/>
      <c r="CE527" s="74"/>
      <c r="CF527" s="74"/>
      <c r="CG527" s="74"/>
      <c r="CH527" s="74"/>
      <c r="CI527" s="74"/>
      <c r="CJ527" s="74"/>
      <c r="CK527" s="74"/>
      <c r="CL527" s="74"/>
      <c r="CM527" s="74"/>
      <c r="CN527" s="74"/>
      <c r="CO527" s="74"/>
      <c r="CP527" s="74"/>
      <c r="CQ527" s="74"/>
      <c r="CR527" s="74"/>
      <c r="CS527" s="74"/>
      <c r="CT527" s="74"/>
      <c r="CU527" s="74"/>
      <c r="CV527" s="74"/>
      <c r="CW527" s="74"/>
      <c r="CX527" s="74"/>
      <c r="CY527" s="74"/>
      <c r="CZ527" s="74"/>
      <c r="DA527" s="74"/>
      <c r="DB527" s="74"/>
      <c r="DC527" s="74"/>
    </row>
    <row r="528" spans="15:107" customFormat="1" x14ac:dyDescent="0.35">
      <c r="O528" s="76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  <c r="AS528" s="74"/>
      <c r="AT528" s="74"/>
      <c r="AU528" s="74"/>
      <c r="AV528" s="74"/>
      <c r="AW528" s="74"/>
      <c r="AX528" s="74"/>
      <c r="AY528" s="74"/>
      <c r="AZ528" s="74"/>
      <c r="BA528" s="74"/>
      <c r="BB528" s="74"/>
      <c r="BC528" s="74"/>
      <c r="BD528" s="74"/>
      <c r="BE528" s="74"/>
      <c r="BF528" s="74"/>
      <c r="BG528" s="74"/>
      <c r="BH528" s="74"/>
      <c r="BI528" s="74"/>
      <c r="BJ528" s="74"/>
      <c r="BK528" s="74"/>
      <c r="BL528" s="74"/>
      <c r="BM528" s="74"/>
      <c r="BN528" s="74"/>
      <c r="BO528" s="74"/>
      <c r="BP528" s="74"/>
      <c r="BQ528" s="74"/>
      <c r="BR528" s="74"/>
      <c r="BS528" s="74"/>
      <c r="BT528" s="74"/>
      <c r="BU528" s="74"/>
      <c r="BV528" s="74"/>
      <c r="BW528" s="74"/>
      <c r="BX528" s="74"/>
      <c r="BY528" s="74"/>
      <c r="BZ528" s="74"/>
      <c r="CA528" s="74"/>
      <c r="CB528" s="74"/>
      <c r="CC528" s="74"/>
      <c r="CD528" s="74"/>
      <c r="CE528" s="74"/>
      <c r="CF528" s="74"/>
      <c r="CG528" s="74"/>
      <c r="CH528" s="74"/>
      <c r="CI528" s="74"/>
      <c r="CJ528" s="74"/>
      <c r="CK528" s="74"/>
      <c r="CL528" s="74"/>
      <c r="CM528" s="74"/>
      <c r="CN528" s="74"/>
      <c r="CO528" s="74"/>
      <c r="CP528" s="74"/>
      <c r="CQ528" s="74"/>
      <c r="CR528" s="74"/>
      <c r="CS528" s="74"/>
      <c r="CT528" s="74"/>
      <c r="CU528" s="74"/>
      <c r="CV528" s="74"/>
      <c r="CW528" s="74"/>
      <c r="CX528" s="74"/>
      <c r="CY528" s="74"/>
      <c r="CZ528" s="74"/>
      <c r="DA528" s="74"/>
      <c r="DB528" s="74"/>
      <c r="DC528" s="74"/>
    </row>
    <row r="529" spans="15:107" customFormat="1" x14ac:dyDescent="0.35">
      <c r="O529" s="76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  <c r="AS529" s="74"/>
      <c r="AT529" s="74"/>
      <c r="AU529" s="74"/>
      <c r="AV529" s="74"/>
      <c r="AW529" s="74"/>
      <c r="AX529" s="74"/>
      <c r="AY529" s="74"/>
      <c r="AZ529" s="74"/>
      <c r="BA529" s="74"/>
      <c r="BB529" s="74"/>
      <c r="BC529" s="74"/>
      <c r="BD529" s="74"/>
      <c r="BE529" s="74"/>
      <c r="BF529" s="74"/>
      <c r="BG529" s="74"/>
      <c r="BH529" s="74"/>
      <c r="BI529" s="74"/>
      <c r="BJ529" s="74"/>
      <c r="BK529" s="74"/>
      <c r="BL529" s="74"/>
      <c r="BM529" s="74"/>
      <c r="BN529" s="74"/>
      <c r="BO529" s="74"/>
      <c r="BP529" s="74"/>
      <c r="BQ529" s="74"/>
      <c r="BR529" s="74"/>
      <c r="BS529" s="74"/>
      <c r="BT529" s="74"/>
      <c r="BU529" s="74"/>
      <c r="BV529" s="74"/>
      <c r="BW529" s="74"/>
      <c r="BX529" s="74"/>
      <c r="BY529" s="74"/>
      <c r="BZ529" s="74"/>
      <c r="CA529" s="74"/>
      <c r="CB529" s="74"/>
      <c r="CC529" s="74"/>
      <c r="CD529" s="74"/>
      <c r="CE529" s="74"/>
      <c r="CF529" s="74"/>
      <c r="CG529" s="74"/>
      <c r="CH529" s="74"/>
      <c r="CI529" s="74"/>
      <c r="CJ529" s="74"/>
      <c r="CK529" s="74"/>
      <c r="CL529" s="74"/>
      <c r="CM529" s="74"/>
      <c r="CN529" s="74"/>
      <c r="CO529" s="74"/>
      <c r="CP529" s="74"/>
      <c r="CQ529" s="74"/>
      <c r="CR529" s="74"/>
      <c r="CS529" s="74"/>
      <c r="CT529" s="74"/>
      <c r="CU529" s="74"/>
      <c r="CV529" s="74"/>
      <c r="CW529" s="74"/>
      <c r="CX529" s="74"/>
      <c r="CY529" s="74"/>
      <c r="CZ529" s="74"/>
      <c r="DA529" s="74"/>
      <c r="DB529" s="74"/>
      <c r="DC529" s="74"/>
    </row>
    <row r="530" spans="15:107" customFormat="1" x14ac:dyDescent="0.35">
      <c r="O530" s="76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/>
      <c r="BR530" s="74"/>
      <c r="BS530" s="74"/>
      <c r="BT530" s="74"/>
      <c r="BU530" s="74"/>
      <c r="BV530" s="74"/>
      <c r="BW530" s="74"/>
      <c r="BX530" s="74"/>
      <c r="BY530" s="74"/>
      <c r="BZ530" s="74"/>
      <c r="CA530" s="74"/>
      <c r="CB530" s="74"/>
      <c r="CC530" s="74"/>
      <c r="CD530" s="74"/>
      <c r="CE530" s="74"/>
      <c r="CF530" s="74"/>
      <c r="CG530" s="74"/>
      <c r="CH530" s="74"/>
      <c r="CI530" s="74"/>
      <c r="CJ530" s="74"/>
      <c r="CK530" s="74"/>
      <c r="CL530" s="74"/>
      <c r="CM530" s="74"/>
      <c r="CN530" s="74"/>
      <c r="CO530" s="74"/>
      <c r="CP530" s="74"/>
      <c r="CQ530" s="74"/>
      <c r="CR530" s="74"/>
      <c r="CS530" s="74"/>
      <c r="CT530" s="74"/>
      <c r="CU530" s="74"/>
      <c r="CV530" s="74"/>
      <c r="CW530" s="74"/>
      <c r="CX530" s="74"/>
      <c r="CY530" s="74"/>
      <c r="CZ530" s="74"/>
      <c r="DA530" s="74"/>
      <c r="DB530" s="74"/>
      <c r="DC530" s="74"/>
    </row>
    <row r="531" spans="15:107" customFormat="1" x14ac:dyDescent="0.35">
      <c r="O531" s="76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  <c r="BY531" s="74"/>
      <c r="BZ531" s="74"/>
      <c r="CA531" s="74"/>
      <c r="CB531" s="74"/>
      <c r="CC531" s="74"/>
      <c r="CD531" s="74"/>
      <c r="CE531" s="74"/>
      <c r="CF531" s="74"/>
      <c r="CG531" s="74"/>
      <c r="CH531" s="74"/>
      <c r="CI531" s="74"/>
      <c r="CJ531" s="74"/>
      <c r="CK531" s="74"/>
      <c r="CL531" s="74"/>
      <c r="CM531" s="74"/>
      <c r="CN531" s="74"/>
      <c r="CO531" s="74"/>
      <c r="CP531" s="74"/>
      <c r="CQ531" s="74"/>
      <c r="CR531" s="74"/>
      <c r="CS531" s="74"/>
      <c r="CT531" s="74"/>
      <c r="CU531" s="74"/>
      <c r="CV531" s="74"/>
      <c r="CW531" s="74"/>
      <c r="CX531" s="74"/>
      <c r="CY531" s="74"/>
      <c r="CZ531" s="74"/>
      <c r="DA531" s="74"/>
      <c r="DB531" s="74"/>
      <c r="DC531" s="74"/>
    </row>
    <row r="532" spans="15:107" customFormat="1" x14ac:dyDescent="0.35">
      <c r="O532" s="76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74"/>
      <c r="BU532" s="74"/>
      <c r="BV532" s="74"/>
      <c r="BW532" s="74"/>
      <c r="BX532" s="74"/>
      <c r="BY532" s="74"/>
      <c r="BZ532" s="74"/>
      <c r="CA532" s="74"/>
      <c r="CB532" s="74"/>
      <c r="CC532" s="74"/>
      <c r="CD532" s="74"/>
      <c r="CE532" s="74"/>
      <c r="CF532" s="74"/>
      <c r="CG532" s="74"/>
      <c r="CH532" s="74"/>
      <c r="CI532" s="74"/>
      <c r="CJ532" s="74"/>
      <c r="CK532" s="74"/>
      <c r="CL532" s="74"/>
      <c r="CM532" s="74"/>
      <c r="CN532" s="74"/>
      <c r="CO532" s="74"/>
      <c r="CP532" s="74"/>
      <c r="CQ532" s="74"/>
      <c r="CR532" s="74"/>
      <c r="CS532" s="74"/>
      <c r="CT532" s="74"/>
      <c r="CU532" s="74"/>
      <c r="CV532" s="74"/>
      <c r="CW532" s="74"/>
      <c r="CX532" s="74"/>
      <c r="CY532" s="74"/>
      <c r="CZ532" s="74"/>
      <c r="DA532" s="74"/>
      <c r="DB532" s="74"/>
      <c r="DC532" s="74"/>
    </row>
    <row r="533" spans="15:107" customFormat="1" x14ac:dyDescent="0.35">
      <c r="O533" s="76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74"/>
      <c r="BU533" s="74"/>
      <c r="BV533" s="74"/>
      <c r="BW533" s="74"/>
      <c r="BX533" s="74"/>
      <c r="BY533" s="74"/>
      <c r="BZ533" s="74"/>
      <c r="CA533" s="74"/>
      <c r="CB533" s="74"/>
      <c r="CC533" s="74"/>
      <c r="CD533" s="74"/>
      <c r="CE533" s="74"/>
      <c r="CF533" s="74"/>
      <c r="CG533" s="74"/>
      <c r="CH533" s="74"/>
      <c r="CI533" s="74"/>
      <c r="CJ533" s="74"/>
      <c r="CK533" s="74"/>
      <c r="CL533" s="74"/>
      <c r="CM533" s="74"/>
      <c r="CN533" s="74"/>
      <c r="CO533" s="74"/>
      <c r="CP533" s="74"/>
      <c r="CQ533" s="74"/>
      <c r="CR533" s="74"/>
      <c r="CS533" s="74"/>
      <c r="CT533" s="74"/>
      <c r="CU533" s="74"/>
      <c r="CV533" s="74"/>
      <c r="CW533" s="74"/>
      <c r="CX533" s="74"/>
      <c r="CY533" s="74"/>
      <c r="CZ533" s="74"/>
      <c r="DA533" s="74"/>
      <c r="DB533" s="74"/>
      <c r="DC533" s="74"/>
    </row>
    <row r="534" spans="15:107" customFormat="1" x14ac:dyDescent="0.35">
      <c r="O534" s="76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  <c r="CD534" s="74"/>
      <c r="CE534" s="74"/>
      <c r="CF534" s="74"/>
      <c r="CG534" s="74"/>
      <c r="CH534" s="74"/>
      <c r="CI534" s="74"/>
      <c r="CJ534" s="74"/>
      <c r="CK534" s="74"/>
      <c r="CL534" s="74"/>
      <c r="CM534" s="74"/>
      <c r="CN534" s="74"/>
      <c r="CO534" s="74"/>
      <c r="CP534" s="74"/>
      <c r="CQ534" s="74"/>
      <c r="CR534" s="74"/>
      <c r="CS534" s="74"/>
      <c r="CT534" s="74"/>
      <c r="CU534" s="74"/>
      <c r="CV534" s="74"/>
      <c r="CW534" s="74"/>
      <c r="CX534" s="74"/>
      <c r="CY534" s="74"/>
      <c r="CZ534" s="74"/>
      <c r="DA534" s="74"/>
      <c r="DB534" s="74"/>
      <c r="DC534" s="74"/>
    </row>
    <row r="535" spans="15:107" customFormat="1" x14ac:dyDescent="0.35">
      <c r="O535" s="76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  <c r="CD535" s="74"/>
      <c r="CE535" s="74"/>
      <c r="CF535" s="74"/>
      <c r="CG535" s="74"/>
      <c r="CH535" s="74"/>
      <c r="CI535" s="74"/>
      <c r="CJ535" s="74"/>
      <c r="CK535" s="74"/>
      <c r="CL535" s="74"/>
      <c r="CM535" s="74"/>
      <c r="CN535" s="74"/>
      <c r="CO535" s="74"/>
      <c r="CP535" s="74"/>
      <c r="CQ535" s="74"/>
      <c r="CR535" s="74"/>
      <c r="CS535" s="74"/>
      <c r="CT535" s="74"/>
      <c r="CU535" s="74"/>
      <c r="CV535" s="74"/>
      <c r="CW535" s="74"/>
      <c r="CX535" s="74"/>
      <c r="CY535" s="74"/>
      <c r="CZ535" s="74"/>
      <c r="DA535" s="74"/>
      <c r="DB535" s="74"/>
      <c r="DC535" s="74"/>
    </row>
    <row r="536" spans="15:107" customFormat="1" x14ac:dyDescent="0.35">
      <c r="O536" s="76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74"/>
      <c r="BU536" s="74"/>
      <c r="BV536" s="74"/>
      <c r="BW536" s="74"/>
      <c r="BX536" s="74"/>
      <c r="BY536" s="74"/>
      <c r="BZ536" s="74"/>
      <c r="CA536" s="74"/>
      <c r="CB536" s="74"/>
      <c r="CC536" s="74"/>
      <c r="CD536" s="74"/>
      <c r="CE536" s="74"/>
      <c r="CF536" s="74"/>
      <c r="CG536" s="74"/>
      <c r="CH536" s="74"/>
      <c r="CI536" s="74"/>
      <c r="CJ536" s="74"/>
      <c r="CK536" s="74"/>
      <c r="CL536" s="74"/>
      <c r="CM536" s="74"/>
      <c r="CN536" s="74"/>
      <c r="CO536" s="74"/>
      <c r="CP536" s="74"/>
      <c r="CQ536" s="74"/>
      <c r="CR536" s="74"/>
      <c r="CS536" s="74"/>
      <c r="CT536" s="74"/>
      <c r="CU536" s="74"/>
      <c r="CV536" s="74"/>
      <c r="CW536" s="74"/>
      <c r="CX536" s="74"/>
      <c r="CY536" s="74"/>
      <c r="CZ536" s="74"/>
      <c r="DA536" s="74"/>
      <c r="DB536" s="74"/>
      <c r="DC536" s="74"/>
    </row>
    <row r="537" spans="15:107" customFormat="1" x14ac:dyDescent="0.35">
      <c r="O537" s="76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/>
      <c r="BR537" s="74"/>
      <c r="BS537" s="74"/>
      <c r="BT537" s="74"/>
      <c r="BU537" s="74"/>
      <c r="BV537" s="74"/>
      <c r="BW537" s="74"/>
      <c r="BX537" s="74"/>
      <c r="BY537" s="74"/>
      <c r="BZ537" s="74"/>
      <c r="CA537" s="74"/>
      <c r="CB537" s="74"/>
      <c r="CC537" s="74"/>
      <c r="CD537" s="74"/>
      <c r="CE537" s="74"/>
      <c r="CF537" s="74"/>
      <c r="CG537" s="74"/>
      <c r="CH537" s="74"/>
      <c r="CI537" s="74"/>
      <c r="CJ537" s="74"/>
      <c r="CK537" s="74"/>
      <c r="CL537" s="74"/>
      <c r="CM537" s="74"/>
      <c r="CN537" s="74"/>
      <c r="CO537" s="74"/>
      <c r="CP537" s="74"/>
      <c r="CQ537" s="74"/>
      <c r="CR537" s="74"/>
      <c r="CS537" s="74"/>
      <c r="CT537" s="74"/>
      <c r="CU537" s="74"/>
      <c r="CV537" s="74"/>
      <c r="CW537" s="74"/>
      <c r="CX537" s="74"/>
      <c r="CY537" s="74"/>
      <c r="CZ537" s="74"/>
      <c r="DA537" s="74"/>
      <c r="DB537" s="74"/>
      <c r="DC537" s="74"/>
    </row>
    <row r="538" spans="15:107" customFormat="1" x14ac:dyDescent="0.35">
      <c r="O538" s="76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/>
      <c r="BR538" s="74"/>
      <c r="BS538" s="74"/>
      <c r="BT538" s="74"/>
      <c r="BU538" s="74"/>
      <c r="BV538" s="74"/>
      <c r="BW538" s="74"/>
      <c r="BX538" s="74"/>
      <c r="BY538" s="74"/>
      <c r="BZ538" s="74"/>
      <c r="CA538" s="74"/>
      <c r="CB538" s="74"/>
      <c r="CC538" s="74"/>
      <c r="CD538" s="74"/>
      <c r="CE538" s="74"/>
      <c r="CF538" s="74"/>
      <c r="CG538" s="74"/>
      <c r="CH538" s="74"/>
      <c r="CI538" s="74"/>
      <c r="CJ538" s="74"/>
      <c r="CK538" s="74"/>
      <c r="CL538" s="74"/>
      <c r="CM538" s="74"/>
      <c r="CN538" s="74"/>
      <c r="CO538" s="74"/>
      <c r="CP538" s="74"/>
      <c r="CQ538" s="74"/>
      <c r="CR538" s="74"/>
      <c r="CS538" s="74"/>
      <c r="CT538" s="74"/>
      <c r="CU538" s="74"/>
      <c r="CV538" s="74"/>
      <c r="CW538" s="74"/>
      <c r="CX538" s="74"/>
      <c r="CY538" s="74"/>
      <c r="CZ538" s="74"/>
      <c r="DA538" s="74"/>
      <c r="DB538" s="74"/>
      <c r="DC538" s="74"/>
    </row>
    <row r="539" spans="15:107" customFormat="1" x14ac:dyDescent="0.35">
      <c r="O539" s="76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/>
      <c r="BR539" s="74"/>
      <c r="BS539" s="74"/>
      <c r="BT539" s="74"/>
      <c r="BU539" s="74"/>
      <c r="BV539" s="74"/>
      <c r="BW539" s="74"/>
      <c r="BX539" s="74"/>
      <c r="BY539" s="74"/>
      <c r="BZ539" s="74"/>
      <c r="CA539" s="74"/>
      <c r="CB539" s="74"/>
      <c r="CC539" s="74"/>
      <c r="CD539" s="74"/>
      <c r="CE539" s="74"/>
      <c r="CF539" s="74"/>
      <c r="CG539" s="74"/>
      <c r="CH539" s="74"/>
      <c r="CI539" s="74"/>
      <c r="CJ539" s="74"/>
      <c r="CK539" s="74"/>
      <c r="CL539" s="74"/>
      <c r="CM539" s="74"/>
      <c r="CN539" s="74"/>
      <c r="CO539" s="74"/>
      <c r="CP539" s="74"/>
      <c r="CQ539" s="74"/>
      <c r="CR539" s="74"/>
      <c r="CS539" s="74"/>
      <c r="CT539" s="74"/>
      <c r="CU539" s="74"/>
      <c r="CV539" s="74"/>
      <c r="CW539" s="74"/>
      <c r="CX539" s="74"/>
      <c r="CY539" s="74"/>
      <c r="CZ539" s="74"/>
      <c r="DA539" s="74"/>
      <c r="DB539" s="74"/>
      <c r="DC539" s="74"/>
    </row>
    <row r="540" spans="15:107" customFormat="1" x14ac:dyDescent="0.35">
      <c r="O540" s="76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  <c r="AX540" s="74"/>
      <c r="AY540" s="74"/>
      <c r="AZ540" s="74"/>
      <c r="BA540" s="74"/>
      <c r="BB540" s="74"/>
      <c r="BC540" s="74"/>
      <c r="BD540" s="74"/>
      <c r="BE540" s="74"/>
      <c r="BF540" s="74"/>
      <c r="BG540" s="74"/>
      <c r="BH540" s="74"/>
      <c r="BI540" s="74"/>
      <c r="BJ540" s="74"/>
      <c r="BK540" s="74"/>
      <c r="BL540" s="74"/>
      <c r="BM540" s="74"/>
      <c r="BN540" s="74"/>
      <c r="BO540" s="74"/>
      <c r="BP540" s="74"/>
      <c r="BQ540" s="74"/>
      <c r="BR540" s="74"/>
      <c r="BS540" s="74"/>
      <c r="BT540" s="74"/>
      <c r="BU540" s="74"/>
      <c r="BV540" s="74"/>
      <c r="BW540" s="74"/>
      <c r="BX540" s="74"/>
      <c r="BY540" s="74"/>
      <c r="BZ540" s="74"/>
      <c r="CA540" s="74"/>
      <c r="CB540" s="74"/>
      <c r="CC540" s="74"/>
      <c r="CD540" s="74"/>
      <c r="CE540" s="74"/>
      <c r="CF540" s="74"/>
      <c r="CG540" s="74"/>
      <c r="CH540" s="74"/>
      <c r="CI540" s="74"/>
      <c r="CJ540" s="74"/>
      <c r="CK540" s="74"/>
      <c r="CL540" s="74"/>
      <c r="CM540" s="74"/>
      <c r="CN540" s="74"/>
      <c r="CO540" s="74"/>
      <c r="CP540" s="74"/>
      <c r="CQ540" s="74"/>
      <c r="CR540" s="74"/>
      <c r="CS540" s="74"/>
      <c r="CT540" s="74"/>
      <c r="CU540" s="74"/>
      <c r="CV540" s="74"/>
      <c r="CW540" s="74"/>
      <c r="CX540" s="74"/>
      <c r="CY540" s="74"/>
      <c r="CZ540" s="74"/>
      <c r="DA540" s="74"/>
      <c r="DB540" s="74"/>
      <c r="DC540" s="74"/>
    </row>
    <row r="541" spans="15:107" customFormat="1" x14ac:dyDescent="0.35">
      <c r="O541" s="76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/>
      <c r="AT541" s="74"/>
      <c r="AU541" s="74"/>
      <c r="AV541" s="74"/>
      <c r="AW541" s="74"/>
      <c r="AX541" s="74"/>
      <c r="AY541" s="74"/>
      <c r="AZ541" s="74"/>
      <c r="BA541" s="74"/>
      <c r="BB541" s="74"/>
      <c r="BC541" s="74"/>
      <c r="BD541" s="74"/>
      <c r="BE541" s="74"/>
      <c r="BF541" s="74"/>
      <c r="BG541" s="74"/>
      <c r="BH541" s="74"/>
      <c r="BI541" s="74"/>
      <c r="BJ541" s="74"/>
      <c r="BK541" s="74"/>
      <c r="BL541" s="74"/>
      <c r="BM541" s="74"/>
      <c r="BN541" s="74"/>
      <c r="BO541" s="74"/>
      <c r="BP541" s="74"/>
      <c r="BQ541" s="74"/>
      <c r="BR541" s="74"/>
      <c r="BS541" s="74"/>
      <c r="BT541" s="74"/>
      <c r="BU541" s="74"/>
      <c r="BV541" s="74"/>
      <c r="BW541" s="74"/>
      <c r="BX541" s="74"/>
      <c r="BY541" s="74"/>
      <c r="BZ541" s="74"/>
      <c r="CA541" s="74"/>
      <c r="CB541" s="74"/>
      <c r="CC541" s="74"/>
      <c r="CD541" s="74"/>
      <c r="CE541" s="74"/>
      <c r="CF541" s="74"/>
      <c r="CG541" s="74"/>
      <c r="CH541" s="74"/>
      <c r="CI541" s="74"/>
      <c r="CJ541" s="74"/>
      <c r="CK541" s="74"/>
      <c r="CL541" s="74"/>
      <c r="CM541" s="74"/>
      <c r="CN541" s="74"/>
      <c r="CO541" s="74"/>
      <c r="CP541" s="74"/>
      <c r="CQ541" s="74"/>
      <c r="CR541" s="74"/>
      <c r="CS541" s="74"/>
      <c r="CT541" s="74"/>
      <c r="CU541" s="74"/>
      <c r="CV541" s="74"/>
      <c r="CW541" s="74"/>
      <c r="CX541" s="74"/>
      <c r="CY541" s="74"/>
      <c r="CZ541" s="74"/>
      <c r="DA541" s="74"/>
      <c r="DB541" s="74"/>
      <c r="DC541" s="74"/>
    </row>
    <row r="542" spans="15:107" customFormat="1" x14ac:dyDescent="0.35">
      <c r="O542" s="76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  <c r="AX542" s="74"/>
      <c r="AY542" s="74"/>
      <c r="AZ542" s="74"/>
      <c r="BA542" s="74"/>
      <c r="BB542" s="74"/>
      <c r="BC542" s="74"/>
      <c r="BD542" s="74"/>
      <c r="BE542" s="74"/>
      <c r="BF542" s="74"/>
      <c r="BG542" s="74"/>
      <c r="BH542" s="74"/>
      <c r="BI542" s="74"/>
      <c r="BJ542" s="74"/>
      <c r="BK542" s="74"/>
      <c r="BL542" s="74"/>
      <c r="BM542" s="74"/>
      <c r="BN542" s="74"/>
      <c r="BO542" s="74"/>
      <c r="BP542" s="74"/>
      <c r="BQ542" s="74"/>
      <c r="BR542" s="74"/>
      <c r="BS542" s="74"/>
      <c r="BT542" s="74"/>
      <c r="BU542" s="74"/>
      <c r="BV542" s="74"/>
      <c r="BW542" s="74"/>
      <c r="BX542" s="74"/>
      <c r="BY542" s="74"/>
      <c r="BZ542" s="74"/>
      <c r="CA542" s="74"/>
      <c r="CB542" s="74"/>
      <c r="CC542" s="74"/>
      <c r="CD542" s="74"/>
      <c r="CE542" s="74"/>
      <c r="CF542" s="74"/>
      <c r="CG542" s="74"/>
      <c r="CH542" s="74"/>
      <c r="CI542" s="74"/>
      <c r="CJ542" s="74"/>
      <c r="CK542" s="74"/>
      <c r="CL542" s="74"/>
      <c r="CM542" s="74"/>
      <c r="CN542" s="74"/>
      <c r="CO542" s="74"/>
      <c r="CP542" s="74"/>
      <c r="CQ542" s="74"/>
      <c r="CR542" s="74"/>
      <c r="CS542" s="74"/>
      <c r="CT542" s="74"/>
      <c r="CU542" s="74"/>
      <c r="CV542" s="74"/>
      <c r="CW542" s="74"/>
      <c r="CX542" s="74"/>
      <c r="CY542" s="74"/>
      <c r="CZ542" s="74"/>
      <c r="DA542" s="74"/>
      <c r="DB542" s="74"/>
      <c r="DC542" s="74"/>
    </row>
    <row r="543" spans="15:107" customFormat="1" x14ac:dyDescent="0.35">
      <c r="O543" s="76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  <c r="AX543" s="74"/>
      <c r="AY543" s="74"/>
      <c r="AZ543" s="74"/>
      <c r="BA543" s="74"/>
      <c r="BB543" s="74"/>
      <c r="BC543" s="74"/>
      <c r="BD543" s="74"/>
      <c r="BE543" s="74"/>
      <c r="BF543" s="74"/>
      <c r="BG543" s="74"/>
      <c r="BH543" s="74"/>
      <c r="BI543" s="74"/>
      <c r="BJ543" s="74"/>
      <c r="BK543" s="74"/>
      <c r="BL543" s="74"/>
      <c r="BM543" s="74"/>
      <c r="BN543" s="74"/>
      <c r="BO543" s="74"/>
      <c r="BP543" s="74"/>
      <c r="BQ543" s="74"/>
      <c r="BR543" s="74"/>
      <c r="BS543" s="74"/>
      <c r="BT543" s="74"/>
      <c r="BU543" s="74"/>
      <c r="BV543" s="74"/>
      <c r="BW543" s="74"/>
      <c r="BX543" s="74"/>
      <c r="BY543" s="74"/>
      <c r="BZ543" s="74"/>
      <c r="CA543" s="74"/>
      <c r="CB543" s="74"/>
      <c r="CC543" s="74"/>
      <c r="CD543" s="74"/>
      <c r="CE543" s="74"/>
      <c r="CF543" s="74"/>
      <c r="CG543" s="74"/>
      <c r="CH543" s="74"/>
      <c r="CI543" s="74"/>
      <c r="CJ543" s="74"/>
      <c r="CK543" s="74"/>
      <c r="CL543" s="74"/>
      <c r="CM543" s="74"/>
      <c r="CN543" s="74"/>
      <c r="CO543" s="74"/>
      <c r="CP543" s="74"/>
      <c r="CQ543" s="74"/>
      <c r="CR543" s="74"/>
      <c r="CS543" s="74"/>
      <c r="CT543" s="74"/>
      <c r="CU543" s="74"/>
      <c r="CV543" s="74"/>
      <c r="CW543" s="74"/>
      <c r="CX543" s="74"/>
      <c r="CY543" s="74"/>
      <c r="CZ543" s="74"/>
      <c r="DA543" s="74"/>
      <c r="DB543" s="74"/>
      <c r="DC543" s="74"/>
    </row>
    <row r="544" spans="15:107" customFormat="1" x14ac:dyDescent="0.35">
      <c r="O544" s="76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  <c r="AX544" s="74"/>
      <c r="AY544" s="74"/>
      <c r="AZ544" s="74"/>
      <c r="BA544" s="74"/>
      <c r="BB544" s="74"/>
      <c r="BC544" s="74"/>
      <c r="BD544" s="74"/>
      <c r="BE544" s="74"/>
      <c r="BF544" s="74"/>
      <c r="BG544" s="74"/>
      <c r="BH544" s="74"/>
      <c r="BI544" s="74"/>
      <c r="BJ544" s="74"/>
      <c r="BK544" s="74"/>
      <c r="BL544" s="74"/>
      <c r="BM544" s="74"/>
      <c r="BN544" s="74"/>
      <c r="BO544" s="74"/>
      <c r="BP544" s="74"/>
      <c r="BQ544" s="74"/>
      <c r="BR544" s="74"/>
      <c r="BS544" s="74"/>
      <c r="BT544" s="74"/>
      <c r="BU544" s="74"/>
      <c r="BV544" s="74"/>
      <c r="BW544" s="74"/>
      <c r="BX544" s="74"/>
      <c r="BY544" s="74"/>
      <c r="BZ544" s="74"/>
      <c r="CA544" s="74"/>
      <c r="CB544" s="74"/>
      <c r="CC544" s="74"/>
      <c r="CD544" s="74"/>
      <c r="CE544" s="74"/>
      <c r="CF544" s="74"/>
      <c r="CG544" s="74"/>
      <c r="CH544" s="74"/>
      <c r="CI544" s="74"/>
      <c r="CJ544" s="74"/>
      <c r="CK544" s="74"/>
      <c r="CL544" s="74"/>
      <c r="CM544" s="74"/>
      <c r="CN544" s="74"/>
      <c r="CO544" s="74"/>
      <c r="CP544" s="74"/>
      <c r="CQ544" s="74"/>
      <c r="CR544" s="74"/>
      <c r="CS544" s="74"/>
      <c r="CT544" s="74"/>
      <c r="CU544" s="74"/>
      <c r="CV544" s="74"/>
      <c r="CW544" s="74"/>
      <c r="CX544" s="74"/>
      <c r="CY544" s="74"/>
      <c r="CZ544" s="74"/>
      <c r="DA544" s="74"/>
      <c r="DB544" s="74"/>
      <c r="DC544" s="74"/>
    </row>
    <row r="545" spans="15:107" customFormat="1" x14ac:dyDescent="0.35">
      <c r="O545" s="76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  <c r="AZ545" s="74"/>
      <c r="BA545" s="74"/>
      <c r="BB545" s="74"/>
      <c r="BC545" s="74"/>
      <c r="BD545" s="74"/>
      <c r="BE545" s="74"/>
      <c r="BF545" s="74"/>
      <c r="BG545" s="74"/>
      <c r="BH545" s="74"/>
      <c r="BI545" s="74"/>
      <c r="BJ545" s="74"/>
      <c r="BK545" s="74"/>
      <c r="BL545" s="74"/>
      <c r="BM545" s="74"/>
      <c r="BN545" s="74"/>
      <c r="BO545" s="74"/>
      <c r="BP545" s="74"/>
      <c r="BQ545" s="74"/>
      <c r="BR545" s="74"/>
      <c r="BS545" s="74"/>
      <c r="BT545" s="74"/>
      <c r="BU545" s="74"/>
      <c r="BV545" s="74"/>
      <c r="BW545" s="74"/>
      <c r="BX545" s="74"/>
      <c r="BY545" s="74"/>
      <c r="BZ545" s="74"/>
      <c r="CA545" s="74"/>
      <c r="CB545" s="74"/>
      <c r="CC545" s="74"/>
      <c r="CD545" s="74"/>
      <c r="CE545" s="74"/>
      <c r="CF545" s="74"/>
      <c r="CG545" s="74"/>
      <c r="CH545" s="74"/>
      <c r="CI545" s="74"/>
      <c r="CJ545" s="74"/>
      <c r="CK545" s="74"/>
      <c r="CL545" s="74"/>
      <c r="CM545" s="74"/>
      <c r="CN545" s="74"/>
      <c r="CO545" s="74"/>
      <c r="CP545" s="74"/>
      <c r="CQ545" s="74"/>
      <c r="CR545" s="74"/>
      <c r="CS545" s="74"/>
      <c r="CT545" s="74"/>
      <c r="CU545" s="74"/>
      <c r="CV545" s="74"/>
      <c r="CW545" s="74"/>
      <c r="CX545" s="74"/>
      <c r="CY545" s="74"/>
      <c r="CZ545" s="74"/>
      <c r="DA545" s="74"/>
      <c r="DB545" s="74"/>
      <c r="DC545" s="74"/>
    </row>
    <row r="546" spans="15:107" customFormat="1" x14ac:dyDescent="0.35">
      <c r="O546" s="76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74"/>
      <c r="AT546" s="74"/>
      <c r="AU546" s="74"/>
      <c r="AV546" s="74"/>
      <c r="AW546" s="74"/>
      <c r="AX546" s="74"/>
      <c r="AY546" s="74"/>
      <c r="AZ546" s="74"/>
      <c r="BA546" s="74"/>
      <c r="BB546" s="74"/>
      <c r="BC546" s="74"/>
      <c r="BD546" s="74"/>
      <c r="BE546" s="74"/>
      <c r="BF546" s="74"/>
      <c r="BG546" s="74"/>
      <c r="BH546" s="74"/>
      <c r="BI546" s="74"/>
      <c r="BJ546" s="74"/>
      <c r="BK546" s="74"/>
      <c r="BL546" s="74"/>
      <c r="BM546" s="74"/>
      <c r="BN546" s="74"/>
      <c r="BO546" s="74"/>
      <c r="BP546" s="74"/>
      <c r="BQ546" s="74"/>
      <c r="BR546" s="74"/>
      <c r="BS546" s="74"/>
      <c r="BT546" s="74"/>
      <c r="BU546" s="74"/>
      <c r="BV546" s="74"/>
      <c r="BW546" s="74"/>
      <c r="BX546" s="74"/>
      <c r="BY546" s="74"/>
      <c r="BZ546" s="74"/>
      <c r="CA546" s="74"/>
      <c r="CB546" s="74"/>
      <c r="CC546" s="74"/>
      <c r="CD546" s="74"/>
      <c r="CE546" s="74"/>
      <c r="CF546" s="74"/>
      <c r="CG546" s="74"/>
      <c r="CH546" s="74"/>
      <c r="CI546" s="74"/>
      <c r="CJ546" s="74"/>
      <c r="CK546" s="74"/>
      <c r="CL546" s="74"/>
      <c r="CM546" s="74"/>
      <c r="CN546" s="74"/>
      <c r="CO546" s="74"/>
      <c r="CP546" s="74"/>
      <c r="CQ546" s="74"/>
      <c r="CR546" s="74"/>
      <c r="CS546" s="74"/>
      <c r="CT546" s="74"/>
      <c r="CU546" s="74"/>
      <c r="CV546" s="74"/>
      <c r="CW546" s="74"/>
      <c r="CX546" s="74"/>
      <c r="CY546" s="74"/>
      <c r="CZ546" s="74"/>
      <c r="DA546" s="74"/>
      <c r="DB546" s="74"/>
      <c r="DC546" s="74"/>
    </row>
    <row r="547" spans="15:107" customFormat="1" x14ac:dyDescent="0.35">
      <c r="O547" s="76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  <c r="AX547" s="74"/>
      <c r="AY547" s="74"/>
      <c r="AZ547" s="74"/>
      <c r="BA547" s="74"/>
      <c r="BB547" s="74"/>
      <c r="BC547" s="74"/>
      <c r="BD547" s="74"/>
      <c r="BE547" s="74"/>
      <c r="BF547" s="74"/>
      <c r="BG547" s="74"/>
      <c r="BH547" s="74"/>
      <c r="BI547" s="74"/>
      <c r="BJ547" s="74"/>
      <c r="BK547" s="74"/>
      <c r="BL547" s="74"/>
      <c r="BM547" s="74"/>
      <c r="BN547" s="74"/>
      <c r="BO547" s="74"/>
      <c r="BP547" s="74"/>
      <c r="BQ547" s="74"/>
      <c r="BR547" s="74"/>
      <c r="BS547" s="74"/>
      <c r="BT547" s="74"/>
      <c r="BU547" s="74"/>
      <c r="BV547" s="74"/>
      <c r="BW547" s="74"/>
      <c r="BX547" s="74"/>
      <c r="BY547" s="74"/>
      <c r="BZ547" s="74"/>
      <c r="CA547" s="74"/>
      <c r="CB547" s="74"/>
      <c r="CC547" s="74"/>
      <c r="CD547" s="74"/>
      <c r="CE547" s="74"/>
      <c r="CF547" s="74"/>
      <c r="CG547" s="74"/>
      <c r="CH547" s="74"/>
      <c r="CI547" s="74"/>
      <c r="CJ547" s="74"/>
      <c r="CK547" s="74"/>
      <c r="CL547" s="74"/>
      <c r="CM547" s="74"/>
      <c r="CN547" s="74"/>
      <c r="CO547" s="74"/>
      <c r="CP547" s="74"/>
      <c r="CQ547" s="74"/>
      <c r="CR547" s="74"/>
      <c r="CS547" s="74"/>
      <c r="CT547" s="74"/>
      <c r="CU547" s="74"/>
      <c r="CV547" s="74"/>
      <c r="CW547" s="74"/>
      <c r="CX547" s="74"/>
      <c r="CY547" s="74"/>
      <c r="CZ547" s="74"/>
      <c r="DA547" s="74"/>
      <c r="DB547" s="74"/>
      <c r="DC547" s="74"/>
    </row>
    <row r="548" spans="15:107" customFormat="1" x14ac:dyDescent="0.35">
      <c r="O548" s="76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  <c r="AZ548" s="74"/>
      <c r="BA548" s="74"/>
      <c r="BB548" s="74"/>
      <c r="BC548" s="74"/>
      <c r="BD548" s="74"/>
      <c r="BE548" s="74"/>
      <c r="BF548" s="74"/>
      <c r="BG548" s="74"/>
      <c r="BH548" s="74"/>
      <c r="BI548" s="74"/>
      <c r="BJ548" s="74"/>
      <c r="BK548" s="74"/>
      <c r="BL548" s="74"/>
      <c r="BM548" s="74"/>
      <c r="BN548" s="74"/>
      <c r="BO548" s="74"/>
      <c r="BP548" s="74"/>
      <c r="BQ548" s="74"/>
      <c r="BR548" s="74"/>
      <c r="BS548" s="74"/>
      <c r="BT548" s="74"/>
      <c r="BU548" s="74"/>
      <c r="BV548" s="74"/>
      <c r="BW548" s="74"/>
      <c r="BX548" s="74"/>
      <c r="BY548" s="74"/>
      <c r="BZ548" s="74"/>
      <c r="CA548" s="74"/>
      <c r="CB548" s="74"/>
      <c r="CC548" s="74"/>
      <c r="CD548" s="74"/>
      <c r="CE548" s="74"/>
      <c r="CF548" s="74"/>
      <c r="CG548" s="74"/>
      <c r="CH548" s="74"/>
      <c r="CI548" s="74"/>
      <c r="CJ548" s="74"/>
      <c r="CK548" s="74"/>
      <c r="CL548" s="74"/>
      <c r="CM548" s="74"/>
      <c r="CN548" s="74"/>
      <c r="CO548" s="74"/>
      <c r="CP548" s="74"/>
      <c r="CQ548" s="74"/>
      <c r="CR548" s="74"/>
      <c r="CS548" s="74"/>
      <c r="CT548" s="74"/>
      <c r="CU548" s="74"/>
      <c r="CV548" s="74"/>
      <c r="CW548" s="74"/>
      <c r="CX548" s="74"/>
      <c r="CY548" s="74"/>
      <c r="CZ548" s="74"/>
      <c r="DA548" s="74"/>
      <c r="DB548" s="74"/>
      <c r="DC548" s="74"/>
    </row>
    <row r="549" spans="15:107" customFormat="1" x14ac:dyDescent="0.35">
      <c r="O549" s="76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74"/>
      <c r="AT549" s="74"/>
      <c r="AU549" s="74"/>
      <c r="AV549" s="74"/>
      <c r="AW549" s="74"/>
      <c r="AX549" s="74"/>
      <c r="AY549" s="74"/>
      <c r="AZ549" s="74"/>
      <c r="BA549" s="74"/>
      <c r="BB549" s="74"/>
      <c r="BC549" s="74"/>
      <c r="BD549" s="74"/>
      <c r="BE549" s="74"/>
      <c r="BF549" s="74"/>
      <c r="BG549" s="74"/>
      <c r="BH549" s="74"/>
      <c r="BI549" s="74"/>
      <c r="BJ549" s="74"/>
      <c r="BK549" s="74"/>
      <c r="BL549" s="74"/>
      <c r="BM549" s="74"/>
      <c r="BN549" s="74"/>
      <c r="BO549" s="74"/>
      <c r="BP549" s="74"/>
      <c r="BQ549" s="74"/>
      <c r="BR549" s="74"/>
      <c r="BS549" s="74"/>
      <c r="BT549" s="74"/>
      <c r="BU549" s="74"/>
      <c r="BV549" s="74"/>
      <c r="BW549" s="74"/>
      <c r="BX549" s="74"/>
      <c r="BY549" s="74"/>
      <c r="BZ549" s="74"/>
      <c r="CA549" s="74"/>
      <c r="CB549" s="74"/>
      <c r="CC549" s="74"/>
      <c r="CD549" s="74"/>
      <c r="CE549" s="74"/>
      <c r="CF549" s="74"/>
      <c r="CG549" s="74"/>
      <c r="CH549" s="74"/>
      <c r="CI549" s="74"/>
      <c r="CJ549" s="74"/>
      <c r="CK549" s="74"/>
      <c r="CL549" s="74"/>
      <c r="CM549" s="74"/>
      <c r="CN549" s="74"/>
      <c r="CO549" s="74"/>
      <c r="CP549" s="74"/>
      <c r="CQ549" s="74"/>
      <c r="CR549" s="74"/>
      <c r="CS549" s="74"/>
      <c r="CT549" s="74"/>
      <c r="CU549" s="74"/>
      <c r="CV549" s="74"/>
      <c r="CW549" s="74"/>
      <c r="CX549" s="74"/>
      <c r="CY549" s="74"/>
      <c r="CZ549" s="74"/>
      <c r="DA549" s="74"/>
      <c r="DB549" s="74"/>
      <c r="DC549" s="74"/>
    </row>
    <row r="550" spans="15:107" customFormat="1" x14ac:dyDescent="0.35">
      <c r="O550" s="76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  <c r="AX550" s="74"/>
      <c r="AY550" s="74"/>
      <c r="AZ550" s="74"/>
      <c r="BA550" s="74"/>
      <c r="BB550" s="74"/>
      <c r="BC550" s="74"/>
      <c r="BD550" s="74"/>
      <c r="BE550" s="74"/>
      <c r="BF550" s="74"/>
      <c r="BG550" s="74"/>
      <c r="BH550" s="74"/>
      <c r="BI550" s="74"/>
      <c r="BJ550" s="74"/>
      <c r="BK550" s="74"/>
      <c r="BL550" s="74"/>
      <c r="BM550" s="74"/>
      <c r="BN550" s="74"/>
      <c r="BO550" s="74"/>
      <c r="BP550" s="74"/>
      <c r="BQ550" s="74"/>
      <c r="BR550" s="74"/>
      <c r="BS550" s="74"/>
      <c r="BT550" s="74"/>
      <c r="BU550" s="74"/>
      <c r="BV550" s="74"/>
      <c r="BW550" s="74"/>
      <c r="BX550" s="74"/>
      <c r="BY550" s="74"/>
      <c r="BZ550" s="74"/>
      <c r="CA550" s="74"/>
      <c r="CB550" s="74"/>
      <c r="CC550" s="74"/>
      <c r="CD550" s="74"/>
      <c r="CE550" s="74"/>
      <c r="CF550" s="74"/>
      <c r="CG550" s="74"/>
      <c r="CH550" s="74"/>
      <c r="CI550" s="74"/>
      <c r="CJ550" s="74"/>
      <c r="CK550" s="74"/>
      <c r="CL550" s="74"/>
      <c r="CM550" s="74"/>
      <c r="CN550" s="74"/>
      <c r="CO550" s="74"/>
      <c r="CP550" s="74"/>
      <c r="CQ550" s="74"/>
      <c r="CR550" s="74"/>
      <c r="CS550" s="74"/>
      <c r="CT550" s="74"/>
      <c r="CU550" s="74"/>
      <c r="CV550" s="74"/>
      <c r="CW550" s="74"/>
      <c r="CX550" s="74"/>
      <c r="CY550" s="74"/>
      <c r="CZ550" s="74"/>
      <c r="DA550" s="74"/>
      <c r="DB550" s="74"/>
      <c r="DC550" s="74"/>
    </row>
    <row r="551" spans="15:107" customFormat="1" x14ac:dyDescent="0.35">
      <c r="O551" s="76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  <c r="AS551" s="74"/>
      <c r="AT551" s="74"/>
      <c r="AU551" s="74"/>
      <c r="AV551" s="74"/>
      <c r="AW551" s="74"/>
      <c r="AX551" s="74"/>
      <c r="AY551" s="74"/>
      <c r="AZ551" s="74"/>
      <c r="BA551" s="74"/>
      <c r="BB551" s="74"/>
      <c r="BC551" s="74"/>
      <c r="BD551" s="74"/>
      <c r="BE551" s="74"/>
      <c r="BF551" s="74"/>
      <c r="BG551" s="74"/>
      <c r="BH551" s="74"/>
      <c r="BI551" s="74"/>
      <c r="BJ551" s="74"/>
      <c r="BK551" s="74"/>
      <c r="BL551" s="74"/>
      <c r="BM551" s="74"/>
      <c r="BN551" s="74"/>
      <c r="BO551" s="74"/>
      <c r="BP551" s="74"/>
      <c r="BQ551" s="74"/>
      <c r="BR551" s="74"/>
      <c r="BS551" s="74"/>
      <c r="BT551" s="74"/>
      <c r="BU551" s="74"/>
      <c r="BV551" s="74"/>
      <c r="BW551" s="74"/>
      <c r="BX551" s="74"/>
      <c r="BY551" s="74"/>
      <c r="BZ551" s="74"/>
      <c r="CA551" s="74"/>
      <c r="CB551" s="74"/>
      <c r="CC551" s="74"/>
      <c r="CD551" s="74"/>
      <c r="CE551" s="74"/>
      <c r="CF551" s="74"/>
      <c r="CG551" s="74"/>
      <c r="CH551" s="74"/>
      <c r="CI551" s="74"/>
      <c r="CJ551" s="74"/>
      <c r="CK551" s="74"/>
      <c r="CL551" s="74"/>
      <c r="CM551" s="74"/>
      <c r="CN551" s="74"/>
      <c r="CO551" s="74"/>
      <c r="CP551" s="74"/>
      <c r="CQ551" s="74"/>
      <c r="CR551" s="74"/>
      <c r="CS551" s="74"/>
      <c r="CT551" s="74"/>
      <c r="CU551" s="74"/>
      <c r="CV551" s="74"/>
      <c r="CW551" s="74"/>
      <c r="CX551" s="74"/>
      <c r="CY551" s="74"/>
      <c r="CZ551" s="74"/>
      <c r="DA551" s="74"/>
      <c r="DB551" s="74"/>
      <c r="DC551" s="74"/>
    </row>
    <row r="552" spans="15:107" customFormat="1" x14ac:dyDescent="0.35">
      <c r="O552" s="76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74"/>
      <c r="AT552" s="74"/>
      <c r="AU552" s="74"/>
      <c r="AV552" s="74"/>
      <c r="AW552" s="74"/>
      <c r="AX552" s="74"/>
      <c r="AY552" s="74"/>
      <c r="AZ552" s="74"/>
      <c r="BA552" s="74"/>
      <c r="BB552" s="74"/>
      <c r="BC552" s="74"/>
      <c r="BD552" s="74"/>
      <c r="BE552" s="74"/>
      <c r="BF552" s="74"/>
      <c r="BG552" s="74"/>
      <c r="BH552" s="74"/>
      <c r="BI552" s="74"/>
      <c r="BJ552" s="74"/>
      <c r="BK552" s="74"/>
      <c r="BL552" s="74"/>
      <c r="BM552" s="74"/>
      <c r="BN552" s="74"/>
      <c r="BO552" s="74"/>
      <c r="BP552" s="74"/>
      <c r="BQ552" s="74"/>
      <c r="BR552" s="74"/>
      <c r="BS552" s="74"/>
      <c r="BT552" s="74"/>
      <c r="BU552" s="74"/>
      <c r="BV552" s="74"/>
      <c r="BW552" s="74"/>
      <c r="BX552" s="74"/>
      <c r="BY552" s="74"/>
      <c r="BZ552" s="74"/>
      <c r="CA552" s="74"/>
      <c r="CB552" s="74"/>
      <c r="CC552" s="74"/>
      <c r="CD552" s="74"/>
      <c r="CE552" s="74"/>
      <c r="CF552" s="74"/>
      <c r="CG552" s="74"/>
      <c r="CH552" s="74"/>
      <c r="CI552" s="74"/>
      <c r="CJ552" s="74"/>
      <c r="CK552" s="74"/>
      <c r="CL552" s="74"/>
      <c r="CM552" s="74"/>
      <c r="CN552" s="74"/>
      <c r="CO552" s="74"/>
      <c r="CP552" s="74"/>
      <c r="CQ552" s="74"/>
      <c r="CR552" s="74"/>
      <c r="CS552" s="74"/>
      <c r="CT552" s="74"/>
      <c r="CU552" s="74"/>
      <c r="CV552" s="74"/>
      <c r="CW552" s="74"/>
      <c r="CX552" s="74"/>
      <c r="CY552" s="74"/>
      <c r="CZ552" s="74"/>
      <c r="DA552" s="74"/>
      <c r="DB552" s="74"/>
      <c r="DC552" s="74"/>
    </row>
    <row r="553" spans="15:107" customFormat="1" x14ac:dyDescent="0.35">
      <c r="O553" s="76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  <c r="AS553" s="74"/>
      <c r="AT553" s="74"/>
      <c r="AU553" s="74"/>
      <c r="AV553" s="74"/>
      <c r="AW553" s="74"/>
      <c r="AX553" s="74"/>
      <c r="AY553" s="74"/>
      <c r="AZ553" s="74"/>
      <c r="BA553" s="74"/>
      <c r="BB553" s="74"/>
      <c r="BC553" s="74"/>
      <c r="BD553" s="74"/>
      <c r="BE553" s="74"/>
      <c r="BF553" s="74"/>
      <c r="BG553" s="74"/>
      <c r="BH553" s="74"/>
      <c r="BI553" s="74"/>
      <c r="BJ553" s="74"/>
      <c r="BK553" s="74"/>
      <c r="BL553" s="74"/>
      <c r="BM553" s="74"/>
      <c r="BN553" s="74"/>
      <c r="BO553" s="74"/>
      <c r="BP553" s="74"/>
      <c r="BQ553" s="74"/>
      <c r="BR553" s="74"/>
      <c r="BS553" s="74"/>
      <c r="BT553" s="74"/>
      <c r="BU553" s="74"/>
      <c r="BV553" s="74"/>
      <c r="BW553" s="74"/>
      <c r="BX553" s="74"/>
      <c r="BY553" s="74"/>
      <c r="BZ553" s="74"/>
      <c r="CA553" s="74"/>
      <c r="CB553" s="74"/>
      <c r="CC553" s="74"/>
      <c r="CD553" s="74"/>
      <c r="CE553" s="74"/>
      <c r="CF553" s="74"/>
      <c r="CG553" s="74"/>
      <c r="CH553" s="74"/>
      <c r="CI553" s="74"/>
      <c r="CJ553" s="74"/>
      <c r="CK553" s="74"/>
      <c r="CL553" s="74"/>
      <c r="CM553" s="74"/>
      <c r="CN553" s="74"/>
      <c r="CO553" s="74"/>
      <c r="CP553" s="74"/>
      <c r="CQ553" s="74"/>
      <c r="CR553" s="74"/>
      <c r="CS553" s="74"/>
      <c r="CT553" s="74"/>
      <c r="CU553" s="74"/>
      <c r="CV553" s="74"/>
      <c r="CW553" s="74"/>
      <c r="CX553" s="74"/>
      <c r="CY553" s="74"/>
      <c r="CZ553" s="74"/>
      <c r="DA553" s="74"/>
      <c r="DB553" s="74"/>
      <c r="DC553" s="74"/>
    </row>
    <row r="554" spans="15:107" customFormat="1" x14ac:dyDescent="0.35">
      <c r="O554" s="76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  <c r="AS554" s="74"/>
      <c r="AT554" s="74"/>
      <c r="AU554" s="74"/>
      <c r="AV554" s="74"/>
      <c r="AW554" s="74"/>
      <c r="AX554" s="74"/>
      <c r="AY554" s="74"/>
      <c r="AZ554" s="74"/>
      <c r="BA554" s="74"/>
      <c r="BB554" s="74"/>
      <c r="BC554" s="74"/>
      <c r="BD554" s="74"/>
      <c r="BE554" s="74"/>
      <c r="BF554" s="74"/>
      <c r="BG554" s="74"/>
      <c r="BH554" s="74"/>
      <c r="BI554" s="74"/>
      <c r="BJ554" s="74"/>
      <c r="BK554" s="74"/>
      <c r="BL554" s="74"/>
      <c r="BM554" s="74"/>
      <c r="BN554" s="74"/>
      <c r="BO554" s="74"/>
      <c r="BP554" s="74"/>
      <c r="BQ554" s="74"/>
      <c r="BR554" s="74"/>
      <c r="BS554" s="74"/>
      <c r="BT554" s="74"/>
      <c r="BU554" s="74"/>
      <c r="BV554" s="74"/>
      <c r="BW554" s="74"/>
      <c r="BX554" s="74"/>
      <c r="BY554" s="74"/>
      <c r="BZ554" s="74"/>
      <c r="CA554" s="74"/>
      <c r="CB554" s="74"/>
      <c r="CC554" s="74"/>
      <c r="CD554" s="74"/>
      <c r="CE554" s="74"/>
      <c r="CF554" s="74"/>
      <c r="CG554" s="74"/>
      <c r="CH554" s="74"/>
      <c r="CI554" s="74"/>
      <c r="CJ554" s="74"/>
      <c r="CK554" s="74"/>
      <c r="CL554" s="74"/>
      <c r="CM554" s="74"/>
      <c r="CN554" s="74"/>
      <c r="CO554" s="74"/>
      <c r="CP554" s="74"/>
      <c r="CQ554" s="74"/>
      <c r="CR554" s="74"/>
      <c r="CS554" s="74"/>
      <c r="CT554" s="74"/>
      <c r="CU554" s="74"/>
      <c r="CV554" s="74"/>
      <c r="CW554" s="74"/>
      <c r="CX554" s="74"/>
      <c r="CY554" s="74"/>
      <c r="CZ554" s="74"/>
      <c r="DA554" s="74"/>
      <c r="DB554" s="74"/>
      <c r="DC554" s="74"/>
    </row>
    <row r="555" spans="15:107" customFormat="1" x14ac:dyDescent="0.35">
      <c r="O555" s="76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74"/>
      <c r="AT555" s="74"/>
      <c r="AU555" s="74"/>
      <c r="AV555" s="74"/>
      <c r="AW555" s="74"/>
      <c r="AX555" s="74"/>
      <c r="AY555" s="74"/>
      <c r="AZ555" s="74"/>
      <c r="BA555" s="74"/>
      <c r="BB555" s="74"/>
      <c r="BC555" s="74"/>
      <c r="BD555" s="74"/>
      <c r="BE555" s="74"/>
      <c r="BF555" s="74"/>
      <c r="BG555" s="74"/>
      <c r="BH555" s="74"/>
      <c r="BI555" s="74"/>
      <c r="BJ555" s="74"/>
      <c r="BK555" s="74"/>
      <c r="BL555" s="74"/>
      <c r="BM555" s="74"/>
      <c r="BN555" s="74"/>
      <c r="BO555" s="74"/>
      <c r="BP555" s="74"/>
      <c r="BQ555" s="74"/>
      <c r="BR555" s="74"/>
      <c r="BS555" s="74"/>
      <c r="BT555" s="74"/>
      <c r="BU555" s="74"/>
      <c r="BV555" s="74"/>
      <c r="BW555" s="74"/>
      <c r="BX555" s="74"/>
      <c r="BY555" s="74"/>
      <c r="BZ555" s="74"/>
      <c r="CA555" s="74"/>
      <c r="CB555" s="74"/>
      <c r="CC555" s="74"/>
      <c r="CD555" s="74"/>
      <c r="CE555" s="74"/>
      <c r="CF555" s="74"/>
      <c r="CG555" s="74"/>
      <c r="CH555" s="74"/>
      <c r="CI555" s="74"/>
      <c r="CJ555" s="74"/>
      <c r="CK555" s="74"/>
      <c r="CL555" s="74"/>
      <c r="CM555" s="74"/>
      <c r="CN555" s="74"/>
      <c r="CO555" s="74"/>
      <c r="CP555" s="74"/>
      <c r="CQ555" s="74"/>
      <c r="CR555" s="74"/>
      <c r="CS555" s="74"/>
      <c r="CT555" s="74"/>
      <c r="CU555" s="74"/>
      <c r="CV555" s="74"/>
      <c r="CW555" s="74"/>
      <c r="CX555" s="74"/>
      <c r="CY555" s="74"/>
      <c r="CZ555" s="74"/>
      <c r="DA555" s="74"/>
      <c r="DB555" s="74"/>
      <c r="DC555" s="74"/>
    </row>
    <row r="556" spans="15:107" customFormat="1" x14ac:dyDescent="0.35">
      <c r="O556" s="76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  <c r="AS556" s="74"/>
      <c r="AT556" s="74"/>
      <c r="AU556" s="74"/>
      <c r="AV556" s="74"/>
      <c r="AW556" s="74"/>
      <c r="AX556" s="74"/>
      <c r="AY556" s="74"/>
      <c r="AZ556" s="74"/>
      <c r="BA556" s="74"/>
      <c r="BB556" s="74"/>
      <c r="BC556" s="74"/>
      <c r="BD556" s="74"/>
      <c r="BE556" s="74"/>
      <c r="BF556" s="74"/>
      <c r="BG556" s="74"/>
      <c r="BH556" s="74"/>
      <c r="BI556" s="74"/>
      <c r="BJ556" s="74"/>
      <c r="BK556" s="74"/>
      <c r="BL556" s="74"/>
      <c r="BM556" s="74"/>
      <c r="BN556" s="74"/>
      <c r="BO556" s="74"/>
      <c r="BP556" s="74"/>
      <c r="BQ556" s="74"/>
      <c r="BR556" s="74"/>
      <c r="BS556" s="74"/>
      <c r="BT556" s="74"/>
      <c r="BU556" s="74"/>
      <c r="BV556" s="74"/>
      <c r="BW556" s="74"/>
      <c r="BX556" s="74"/>
      <c r="BY556" s="74"/>
      <c r="BZ556" s="74"/>
      <c r="CA556" s="74"/>
      <c r="CB556" s="74"/>
      <c r="CC556" s="74"/>
      <c r="CD556" s="74"/>
      <c r="CE556" s="74"/>
      <c r="CF556" s="74"/>
      <c r="CG556" s="74"/>
      <c r="CH556" s="74"/>
      <c r="CI556" s="74"/>
      <c r="CJ556" s="74"/>
      <c r="CK556" s="74"/>
      <c r="CL556" s="74"/>
      <c r="CM556" s="74"/>
      <c r="CN556" s="74"/>
      <c r="CO556" s="74"/>
      <c r="CP556" s="74"/>
      <c r="CQ556" s="74"/>
      <c r="CR556" s="74"/>
      <c r="CS556" s="74"/>
      <c r="CT556" s="74"/>
      <c r="CU556" s="74"/>
      <c r="CV556" s="74"/>
      <c r="CW556" s="74"/>
      <c r="CX556" s="74"/>
      <c r="CY556" s="74"/>
      <c r="CZ556" s="74"/>
      <c r="DA556" s="74"/>
      <c r="DB556" s="74"/>
      <c r="DC556" s="74"/>
    </row>
    <row r="557" spans="15:107" customFormat="1" x14ac:dyDescent="0.35">
      <c r="O557" s="76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  <c r="AS557" s="74"/>
      <c r="AT557" s="74"/>
      <c r="AU557" s="74"/>
      <c r="AV557" s="74"/>
      <c r="AW557" s="74"/>
      <c r="AX557" s="74"/>
      <c r="AY557" s="74"/>
      <c r="AZ557" s="74"/>
      <c r="BA557" s="74"/>
      <c r="BB557" s="74"/>
      <c r="BC557" s="74"/>
      <c r="BD557" s="74"/>
      <c r="BE557" s="74"/>
      <c r="BF557" s="74"/>
      <c r="BG557" s="74"/>
      <c r="BH557" s="74"/>
      <c r="BI557" s="74"/>
      <c r="BJ557" s="74"/>
      <c r="BK557" s="74"/>
      <c r="BL557" s="74"/>
      <c r="BM557" s="74"/>
      <c r="BN557" s="74"/>
      <c r="BO557" s="74"/>
      <c r="BP557" s="74"/>
      <c r="BQ557" s="74"/>
      <c r="BR557" s="74"/>
      <c r="BS557" s="74"/>
      <c r="BT557" s="74"/>
      <c r="BU557" s="74"/>
      <c r="BV557" s="74"/>
      <c r="BW557" s="74"/>
      <c r="BX557" s="74"/>
      <c r="BY557" s="74"/>
      <c r="BZ557" s="74"/>
      <c r="CA557" s="74"/>
      <c r="CB557" s="74"/>
      <c r="CC557" s="74"/>
      <c r="CD557" s="74"/>
      <c r="CE557" s="74"/>
      <c r="CF557" s="74"/>
      <c r="CG557" s="74"/>
      <c r="CH557" s="74"/>
      <c r="CI557" s="74"/>
      <c r="CJ557" s="74"/>
      <c r="CK557" s="74"/>
      <c r="CL557" s="74"/>
      <c r="CM557" s="74"/>
      <c r="CN557" s="74"/>
      <c r="CO557" s="74"/>
      <c r="CP557" s="74"/>
      <c r="CQ557" s="74"/>
      <c r="CR557" s="74"/>
      <c r="CS557" s="74"/>
      <c r="CT557" s="74"/>
      <c r="CU557" s="74"/>
      <c r="CV557" s="74"/>
      <c r="CW557" s="74"/>
      <c r="CX557" s="74"/>
      <c r="CY557" s="74"/>
      <c r="CZ557" s="74"/>
      <c r="DA557" s="74"/>
      <c r="DB557" s="74"/>
      <c r="DC557" s="74"/>
    </row>
    <row r="558" spans="15:107" customFormat="1" x14ac:dyDescent="0.35">
      <c r="O558" s="76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  <c r="AS558" s="74"/>
      <c r="AT558" s="74"/>
      <c r="AU558" s="74"/>
      <c r="AV558" s="74"/>
      <c r="AW558" s="74"/>
      <c r="AX558" s="74"/>
      <c r="AY558" s="74"/>
      <c r="AZ558" s="74"/>
      <c r="BA558" s="74"/>
      <c r="BB558" s="74"/>
      <c r="BC558" s="74"/>
      <c r="BD558" s="74"/>
      <c r="BE558" s="74"/>
      <c r="BF558" s="74"/>
      <c r="BG558" s="74"/>
      <c r="BH558" s="74"/>
      <c r="BI558" s="74"/>
      <c r="BJ558" s="74"/>
      <c r="BK558" s="74"/>
      <c r="BL558" s="74"/>
      <c r="BM558" s="74"/>
      <c r="BN558" s="74"/>
      <c r="BO558" s="74"/>
      <c r="BP558" s="74"/>
      <c r="BQ558" s="74"/>
      <c r="BR558" s="74"/>
      <c r="BS558" s="74"/>
      <c r="BT558" s="74"/>
      <c r="BU558" s="74"/>
      <c r="BV558" s="74"/>
      <c r="BW558" s="74"/>
      <c r="BX558" s="74"/>
      <c r="BY558" s="74"/>
      <c r="BZ558" s="74"/>
      <c r="CA558" s="74"/>
      <c r="CB558" s="74"/>
      <c r="CC558" s="74"/>
      <c r="CD558" s="74"/>
      <c r="CE558" s="74"/>
      <c r="CF558" s="74"/>
      <c r="CG558" s="74"/>
      <c r="CH558" s="74"/>
      <c r="CI558" s="74"/>
      <c r="CJ558" s="74"/>
      <c r="CK558" s="74"/>
      <c r="CL558" s="74"/>
      <c r="CM558" s="74"/>
      <c r="CN558" s="74"/>
      <c r="CO558" s="74"/>
      <c r="CP558" s="74"/>
      <c r="CQ558" s="74"/>
      <c r="CR558" s="74"/>
      <c r="CS558" s="74"/>
      <c r="CT558" s="74"/>
      <c r="CU558" s="74"/>
      <c r="CV558" s="74"/>
      <c r="CW558" s="74"/>
      <c r="CX558" s="74"/>
      <c r="CY558" s="74"/>
      <c r="CZ558" s="74"/>
      <c r="DA558" s="74"/>
      <c r="DB558" s="74"/>
      <c r="DC558" s="74"/>
    </row>
    <row r="559" spans="15:107" customFormat="1" x14ac:dyDescent="0.35">
      <c r="O559" s="76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  <c r="AS559" s="74"/>
      <c r="AT559" s="74"/>
      <c r="AU559" s="74"/>
      <c r="AV559" s="74"/>
      <c r="AW559" s="74"/>
      <c r="AX559" s="74"/>
      <c r="AY559" s="74"/>
      <c r="AZ559" s="74"/>
      <c r="BA559" s="74"/>
      <c r="BB559" s="74"/>
      <c r="BC559" s="74"/>
      <c r="BD559" s="74"/>
      <c r="BE559" s="74"/>
      <c r="BF559" s="74"/>
      <c r="BG559" s="74"/>
      <c r="BH559" s="74"/>
      <c r="BI559" s="74"/>
      <c r="BJ559" s="74"/>
      <c r="BK559" s="74"/>
      <c r="BL559" s="74"/>
      <c r="BM559" s="74"/>
      <c r="BN559" s="74"/>
      <c r="BO559" s="74"/>
      <c r="BP559" s="74"/>
      <c r="BQ559" s="74"/>
      <c r="BR559" s="74"/>
      <c r="BS559" s="74"/>
      <c r="BT559" s="74"/>
      <c r="BU559" s="74"/>
      <c r="BV559" s="74"/>
      <c r="BW559" s="74"/>
      <c r="BX559" s="74"/>
      <c r="BY559" s="74"/>
      <c r="BZ559" s="74"/>
      <c r="CA559" s="74"/>
      <c r="CB559" s="74"/>
      <c r="CC559" s="74"/>
      <c r="CD559" s="74"/>
      <c r="CE559" s="74"/>
      <c r="CF559" s="74"/>
      <c r="CG559" s="74"/>
      <c r="CH559" s="74"/>
      <c r="CI559" s="74"/>
      <c r="CJ559" s="74"/>
      <c r="CK559" s="74"/>
      <c r="CL559" s="74"/>
      <c r="CM559" s="74"/>
      <c r="CN559" s="74"/>
      <c r="CO559" s="74"/>
      <c r="CP559" s="74"/>
      <c r="CQ559" s="74"/>
      <c r="CR559" s="74"/>
      <c r="CS559" s="74"/>
      <c r="CT559" s="74"/>
      <c r="CU559" s="74"/>
      <c r="CV559" s="74"/>
      <c r="CW559" s="74"/>
      <c r="CX559" s="74"/>
      <c r="CY559" s="74"/>
      <c r="CZ559" s="74"/>
      <c r="DA559" s="74"/>
      <c r="DB559" s="74"/>
      <c r="DC559" s="74"/>
    </row>
    <row r="560" spans="15:107" customFormat="1" x14ac:dyDescent="0.35">
      <c r="O560" s="76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74"/>
      <c r="AT560" s="74"/>
      <c r="AU560" s="74"/>
      <c r="AV560" s="74"/>
      <c r="AW560" s="74"/>
      <c r="AX560" s="74"/>
      <c r="AY560" s="74"/>
      <c r="AZ560" s="74"/>
      <c r="BA560" s="74"/>
      <c r="BB560" s="74"/>
      <c r="BC560" s="74"/>
      <c r="BD560" s="74"/>
      <c r="BE560" s="74"/>
      <c r="BF560" s="74"/>
      <c r="BG560" s="74"/>
      <c r="BH560" s="74"/>
      <c r="BI560" s="74"/>
      <c r="BJ560" s="74"/>
      <c r="BK560" s="74"/>
      <c r="BL560" s="74"/>
      <c r="BM560" s="74"/>
      <c r="BN560" s="74"/>
      <c r="BO560" s="74"/>
      <c r="BP560" s="74"/>
      <c r="BQ560" s="74"/>
      <c r="BR560" s="74"/>
      <c r="BS560" s="74"/>
      <c r="BT560" s="74"/>
      <c r="BU560" s="74"/>
      <c r="BV560" s="74"/>
      <c r="BW560" s="74"/>
      <c r="BX560" s="74"/>
      <c r="BY560" s="74"/>
      <c r="BZ560" s="74"/>
      <c r="CA560" s="74"/>
      <c r="CB560" s="74"/>
      <c r="CC560" s="74"/>
      <c r="CD560" s="74"/>
      <c r="CE560" s="74"/>
      <c r="CF560" s="74"/>
      <c r="CG560" s="74"/>
      <c r="CH560" s="74"/>
      <c r="CI560" s="74"/>
      <c r="CJ560" s="74"/>
      <c r="CK560" s="74"/>
      <c r="CL560" s="74"/>
      <c r="CM560" s="74"/>
      <c r="CN560" s="74"/>
      <c r="CO560" s="74"/>
      <c r="CP560" s="74"/>
      <c r="CQ560" s="74"/>
      <c r="CR560" s="74"/>
      <c r="CS560" s="74"/>
      <c r="CT560" s="74"/>
      <c r="CU560" s="74"/>
      <c r="CV560" s="74"/>
      <c r="CW560" s="74"/>
      <c r="CX560" s="74"/>
      <c r="CY560" s="74"/>
      <c r="CZ560" s="74"/>
      <c r="DA560" s="74"/>
      <c r="DB560" s="74"/>
      <c r="DC560" s="74"/>
    </row>
    <row r="561" spans="15:107" customFormat="1" x14ac:dyDescent="0.35">
      <c r="O561" s="76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  <c r="AS561" s="74"/>
      <c r="AT561" s="74"/>
      <c r="AU561" s="74"/>
      <c r="AV561" s="74"/>
      <c r="AW561" s="74"/>
      <c r="AX561" s="74"/>
      <c r="AY561" s="74"/>
      <c r="AZ561" s="74"/>
      <c r="BA561" s="74"/>
      <c r="BB561" s="74"/>
      <c r="BC561" s="74"/>
      <c r="BD561" s="74"/>
      <c r="BE561" s="74"/>
      <c r="BF561" s="74"/>
      <c r="BG561" s="74"/>
      <c r="BH561" s="74"/>
      <c r="BI561" s="74"/>
      <c r="BJ561" s="74"/>
      <c r="BK561" s="74"/>
      <c r="BL561" s="74"/>
      <c r="BM561" s="74"/>
      <c r="BN561" s="74"/>
      <c r="BO561" s="74"/>
      <c r="BP561" s="74"/>
      <c r="BQ561" s="74"/>
      <c r="BR561" s="74"/>
      <c r="BS561" s="74"/>
      <c r="BT561" s="74"/>
      <c r="BU561" s="74"/>
      <c r="BV561" s="74"/>
      <c r="BW561" s="74"/>
      <c r="BX561" s="74"/>
      <c r="BY561" s="74"/>
      <c r="BZ561" s="74"/>
      <c r="CA561" s="74"/>
      <c r="CB561" s="74"/>
      <c r="CC561" s="74"/>
      <c r="CD561" s="74"/>
      <c r="CE561" s="74"/>
      <c r="CF561" s="74"/>
      <c r="CG561" s="74"/>
      <c r="CH561" s="74"/>
      <c r="CI561" s="74"/>
      <c r="CJ561" s="74"/>
      <c r="CK561" s="74"/>
      <c r="CL561" s="74"/>
      <c r="CM561" s="74"/>
      <c r="CN561" s="74"/>
      <c r="CO561" s="74"/>
      <c r="CP561" s="74"/>
      <c r="CQ561" s="74"/>
      <c r="CR561" s="74"/>
      <c r="CS561" s="74"/>
      <c r="CT561" s="74"/>
      <c r="CU561" s="74"/>
      <c r="CV561" s="74"/>
      <c r="CW561" s="74"/>
      <c r="CX561" s="74"/>
      <c r="CY561" s="74"/>
      <c r="CZ561" s="74"/>
      <c r="DA561" s="74"/>
      <c r="DB561" s="74"/>
      <c r="DC561" s="74"/>
    </row>
    <row r="562" spans="15:107" customFormat="1" x14ac:dyDescent="0.35">
      <c r="O562" s="76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  <c r="AS562" s="74"/>
      <c r="AT562" s="74"/>
      <c r="AU562" s="74"/>
      <c r="AV562" s="74"/>
      <c r="AW562" s="74"/>
      <c r="AX562" s="74"/>
      <c r="AY562" s="74"/>
      <c r="AZ562" s="74"/>
      <c r="BA562" s="74"/>
      <c r="BB562" s="74"/>
      <c r="BC562" s="74"/>
      <c r="BD562" s="74"/>
      <c r="BE562" s="74"/>
      <c r="BF562" s="74"/>
      <c r="BG562" s="74"/>
      <c r="BH562" s="74"/>
      <c r="BI562" s="74"/>
      <c r="BJ562" s="74"/>
      <c r="BK562" s="74"/>
      <c r="BL562" s="74"/>
      <c r="BM562" s="74"/>
      <c r="BN562" s="74"/>
      <c r="BO562" s="74"/>
      <c r="BP562" s="74"/>
      <c r="BQ562" s="74"/>
      <c r="BR562" s="74"/>
      <c r="BS562" s="74"/>
      <c r="BT562" s="74"/>
      <c r="BU562" s="74"/>
      <c r="BV562" s="74"/>
      <c r="BW562" s="74"/>
      <c r="BX562" s="74"/>
      <c r="BY562" s="74"/>
      <c r="BZ562" s="74"/>
      <c r="CA562" s="74"/>
      <c r="CB562" s="74"/>
      <c r="CC562" s="74"/>
      <c r="CD562" s="74"/>
      <c r="CE562" s="74"/>
      <c r="CF562" s="74"/>
      <c r="CG562" s="74"/>
      <c r="CH562" s="74"/>
      <c r="CI562" s="74"/>
      <c r="CJ562" s="74"/>
      <c r="CK562" s="74"/>
      <c r="CL562" s="74"/>
      <c r="CM562" s="74"/>
      <c r="CN562" s="74"/>
      <c r="CO562" s="74"/>
      <c r="CP562" s="74"/>
      <c r="CQ562" s="74"/>
      <c r="CR562" s="74"/>
      <c r="CS562" s="74"/>
      <c r="CT562" s="74"/>
      <c r="CU562" s="74"/>
      <c r="CV562" s="74"/>
      <c r="CW562" s="74"/>
      <c r="CX562" s="74"/>
      <c r="CY562" s="74"/>
      <c r="CZ562" s="74"/>
      <c r="DA562" s="74"/>
      <c r="DB562" s="74"/>
      <c r="DC562" s="74"/>
    </row>
    <row r="563" spans="15:107" customFormat="1" x14ac:dyDescent="0.35">
      <c r="O563" s="76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  <c r="AS563" s="74"/>
      <c r="AT563" s="74"/>
      <c r="AU563" s="74"/>
      <c r="AV563" s="74"/>
      <c r="AW563" s="74"/>
      <c r="AX563" s="74"/>
      <c r="AY563" s="74"/>
      <c r="AZ563" s="74"/>
      <c r="BA563" s="74"/>
      <c r="BB563" s="74"/>
      <c r="BC563" s="74"/>
      <c r="BD563" s="74"/>
      <c r="BE563" s="74"/>
      <c r="BF563" s="74"/>
      <c r="BG563" s="74"/>
      <c r="BH563" s="74"/>
      <c r="BI563" s="74"/>
      <c r="BJ563" s="74"/>
      <c r="BK563" s="74"/>
      <c r="BL563" s="74"/>
      <c r="BM563" s="74"/>
      <c r="BN563" s="74"/>
      <c r="BO563" s="74"/>
      <c r="BP563" s="74"/>
      <c r="BQ563" s="74"/>
      <c r="BR563" s="74"/>
      <c r="BS563" s="74"/>
      <c r="BT563" s="74"/>
      <c r="BU563" s="74"/>
      <c r="BV563" s="74"/>
      <c r="BW563" s="74"/>
      <c r="BX563" s="74"/>
      <c r="BY563" s="74"/>
      <c r="BZ563" s="74"/>
      <c r="CA563" s="74"/>
      <c r="CB563" s="74"/>
      <c r="CC563" s="74"/>
      <c r="CD563" s="74"/>
      <c r="CE563" s="74"/>
      <c r="CF563" s="74"/>
      <c r="CG563" s="74"/>
      <c r="CH563" s="74"/>
      <c r="CI563" s="74"/>
      <c r="CJ563" s="74"/>
      <c r="CK563" s="74"/>
      <c r="CL563" s="74"/>
      <c r="CM563" s="74"/>
      <c r="CN563" s="74"/>
      <c r="CO563" s="74"/>
      <c r="CP563" s="74"/>
      <c r="CQ563" s="74"/>
      <c r="CR563" s="74"/>
      <c r="CS563" s="74"/>
      <c r="CT563" s="74"/>
      <c r="CU563" s="74"/>
      <c r="CV563" s="74"/>
      <c r="CW563" s="74"/>
      <c r="CX563" s="74"/>
      <c r="CY563" s="74"/>
      <c r="CZ563" s="74"/>
      <c r="DA563" s="74"/>
      <c r="DB563" s="74"/>
      <c r="DC563" s="74"/>
    </row>
    <row r="564" spans="15:107" customFormat="1" x14ac:dyDescent="0.35">
      <c r="O564" s="76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  <c r="AS564" s="74"/>
      <c r="AT564" s="74"/>
      <c r="AU564" s="74"/>
      <c r="AV564" s="74"/>
      <c r="AW564" s="74"/>
      <c r="AX564" s="74"/>
      <c r="AY564" s="74"/>
      <c r="AZ564" s="74"/>
      <c r="BA564" s="74"/>
      <c r="BB564" s="74"/>
      <c r="BC564" s="74"/>
      <c r="BD564" s="74"/>
      <c r="BE564" s="74"/>
      <c r="BF564" s="74"/>
      <c r="BG564" s="74"/>
      <c r="BH564" s="74"/>
      <c r="BI564" s="74"/>
      <c r="BJ564" s="74"/>
      <c r="BK564" s="74"/>
      <c r="BL564" s="74"/>
      <c r="BM564" s="74"/>
      <c r="BN564" s="74"/>
      <c r="BO564" s="74"/>
      <c r="BP564" s="74"/>
      <c r="BQ564" s="74"/>
      <c r="BR564" s="74"/>
      <c r="BS564" s="74"/>
      <c r="BT564" s="74"/>
      <c r="BU564" s="74"/>
      <c r="BV564" s="74"/>
      <c r="BW564" s="74"/>
      <c r="BX564" s="74"/>
      <c r="BY564" s="74"/>
      <c r="BZ564" s="74"/>
      <c r="CA564" s="74"/>
      <c r="CB564" s="74"/>
      <c r="CC564" s="74"/>
      <c r="CD564" s="74"/>
      <c r="CE564" s="74"/>
      <c r="CF564" s="74"/>
      <c r="CG564" s="74"/>
      <c r="CH564" s="74"/>
      <c r="CI564" s="74"/>
      <c r="CJ564" s="74"/>
      <c r="CK564" s="74"/>
      <c r="CL564" s="74"/>
      <c r="CM564" s="74"/>
      <c r="CN564" s="74"/>
      <c r="CO564" s="74"/>
      <c r="CP564" s="74"/>
      <c r="CQ564" s="74"/>
      <c r="CR564" s="74"/>
      <c r="CS564" s="74"/>
      <c r="CT564" s="74"/>
      <c r="CU564" s="74"/>
      <c r="CV564" s="74"/>
      <c r="CW564" s="74"/>
      <c r="CX564" s="74"/>
      <c r="CY564" s="74"/>
      <c r="CZ564" s="74"/>
      <c r="DA564" s="74"/>
      <c r="DB564" s="74"/>
      <c r="DC564" s="74"/>
    </row>
    <row r="565" spans="15:107" customFormat="1" x14ac:dyDescent="0.35">
      <c r="O565" s="76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  <c r="AT565" s="74"/>
      <c r="AU565" s="74"/>
      <c r="AV565" s="74"/>
      <c r="AW565" s="74"/>
      <c r="AX565" s="74"/>
      <c r="AY565" s="74"/>
      <c r="AZ565" s="74"/>
      <c r="BA565" s="74"/>
      <c r="BB565" s="74"/>
      <c r="BC565" s="74"/>
      <c r="BD565" s="74"/>
      <c r="BE565" s="74"/>
      <c r="BF565" s="74"/>
      <c r="BG565" s="74"/>
      <c r="BH565" s="74"/>
      <c r="BI565" s="74"/>
      <c r="BJ565" s="74"/>
      <c r="BK565" s="74"/>
      <c r="BL565" s="74"/>
      <c r="BM565" s="74"/>
      <c r="BN565" s="74"/>
      <c r="BO565" s="74"/>
      <c r="BP565" s="74"/>
      <c r="BQ565" s="74"/>
      <c r="BR565" s="74"/>
      <c r="BS565" s="74"/>
      <c r="BT565" s="74"/>
      <c r="BU565" s="74"/>
      <c r="BV565" s="74"/>
      <c r="BW565" s="74"/>
      <c r="BX565" s="74"/>
      <c r="BY565" s="74"/>
      <c r="BZ565" s="74"/>
      <c r="CA565" s="74"/>
      <c r="CB565" s="74"/>
      <c r="CC565" s="74"/>
      <c r="CD565" s="74"/>
      <c r="CE565" s="74"/>
      <c r="CF565" s="74"/>
      <c r="CG565" s="74"/>
      <c r="CH565" s="74"/>
      <c r="CI565" s="74"/>
      <c r="CJ565" s="74"/>
      <c r="CK565" s="74"/>
      <c r="CL565" s="74"/>
      <c r="CM565" s="74"/>
      <c r="CN565" s="74"/>
      <c r="CO565" s="74"/>
      <c r="CP565" s="74"/>
      <c r="CQ565" s="74"/>
      <c r="CR565" s="74"/>
      <c r="CS565" s="74"/>
      <c r="CT565" s="74"/>
      <c r="CU565" s="74"/>
      <c r="CV565" s="74"/>
      <c r="CW565" s="74"/>
      <c r="CX565" s="74"/>
      <c r="CY565" s="74"/>
      <c r="CZ565" s="74"/>
      <c r="DA565" s="74"/>
      <c r="DB565" s="74"/>
      <c r="DC565" s="74"/>
    </row>
    <row r="566" spans="15:107" customFormat="1" x14ac:dyDescent="0.35">
      <c r="O566" s="76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/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74"/>
      <c r="BJ566" s="74"/>
      <c r="BK566" s="74"/>
      <c r="BL566" s="74"/>
      <c r="BM566" s="74"/>
      <c r="BN566" s="74"/>
      <c r="BO566" s="74"/>
      <c r="BP566" s="74"/>
      <c r="BQ566" s="74"/>
      <c r="BR566" s="74"/>
      <c r="BS566" s="74"/>
      <c r="BT566" s="74"/>
      <c r="BU566" s="74"/>
      <c r="BV566" s="74"/>
      <c r="BW566" s="74"/>
      <c r="BX566" s="74"/>
      <c r="BY566" s="74"/>
      <c r="BZ566" s="74"/>
      <c r="CA566" s="74"/>
      <c r="CB566" s="74"/>
      <c r="CC566" s="74"/>
      <c r="CD566" s="74"/>
      <c r="CE566" s="74"/>
      <c r="CF566" s="74"/>
      <c r="CG566" s="74"/>
      <c r="CH566" s="74"/>
      <c r="CI566" s="74"/>
      <c r="CJ566" s="74"/>
      <c r="CK566" s="74"/>
      <c r="CL566" s="74"/>
      <c r="CM566" s="74"/>
      <c r="CN566" s="74"/>
      <c r="CO566" s="74"/>
      <c r="CP566" s="74"/>
      <c r="CQ566" s="74"/>
      <c r="CR566" s="74"/>
      <c r="CS566" s="74"/>
      <c r="CT566" s="74"/>
      <c r="CU566" s="74"/>
      <c r="CV566" s="74"/>
      <c r="CW566" s="74"/>
      <c r="CX566" s="74"/>
      <c r="CY566" s="74"/>
      <c r="CZ566" s="74"/>
      <c r="DA566" s="74"/>
      <c r="DB566" s="74"/>
      <c r="DC566" s="74"/>
    </row>
    <row r="567" spans="15:107" customFormat="1" x14ac:dyDescent="0.35">
      <c r="O567" s="76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74"/>
      <c r="BJ567" s="74"/>
      <c r="BK567" s="74"/>
      <c r="BL567" s="74"/>
      <c r="BM567" s="74"/>
      <c r="BN567" s="74"/>
      <c r="BO567" s="74"/>
      <c r="BP567" s="74"/>
      <c r="BQ567" s="74"/>
      <c r="BR567" s="74"/>
      <c r="BS567" s="74"/>
      <c r="BT567" s="74"/>
      <c r="BU567" s="74"/>
      <c r="BV567" s="74"/>
      <c r="BW567" s="74"/>
      <c r="BX567" s="74"/>
      <c r="BY567" s="74"/>
      <c r="BZ567" s="74"/>
      <c r="CA567" s="74"/>
      <c r="CB567" s="74"/>
      <c r="CC567" s="74"/>
      <c r="CD567" s="74"/>
      <c r="CE567" s="74"/>
      <c r="CF567" s="74"/>
      <c r="CG567" s="74"/>
      <c r="CH567" s="74"/>
      <c r="CI567" s="74"/>
      <c r="CJ567" s="74"/>
      <c r="CK567" s="74"/>
      <c r="CL567" s="74"/>
      <c r="CM567" s="74"/>
      <c r="CN567" s="74"/>
      <c r="CO567" s="74"/>
      <c r="CP567" s="74"/>
      <c r="CQ567" s="74"/>
      <c r="CR567" s="74"/>
      <c r="CS567" s="74"/>
      <c r="CT567" s="74"/>
      <c r="CU567" s="74"/>
      <c r="CV567" s="74"/>
      <c r="CW567" s="74"/>
      <c r="CX567" s="74"/>
      <c r="CY567" s="74"/>
      <c r="CZ567" s="74"/>
      <c r="DA567" s="74"/>
      <c r="DB567" s="74"/>
      <c r="DC567" s="74"/>
    </row>
    <row r="568" spans="15:107" customFormat="1" x14ac:dyDescent="0.35">
      <c r="O568" s="76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  <c r="AS568" s="74"/>
      <c r="AT568" s="74"/>
      <c r="AU568" s="74"/>
      <c r="AV568" s="74"/>
      <c r="AW568" s="74"/>
      <c r="AX568" s="74"/>
      <c r="AY568" s="74"/>
      <c r="AZ568" s="74"/>
      <c r="BA568" s="74"/>
      <c r="BB568" s="74"/>
      <c r="BC568" s="74"/>
      <c r="BD568" s="74"/>
      <c r="BE568" s="74"/>
      <c r="BF568" s="74"/>
      <c r="BG568" s="74"/>
      <c r="BH568" s="74"/>
      <c r="BI568" s="74"/>
      <c r="BJ568" s="74"/>
      <c r="BK568" s="74"/>
      <c r="BL568" s="74"/>
      <c r="BM568" s="74"/>
      <c r="BN568" s="74"/>
      <c r="BO568" s="74"/>
      <c r="BP568" s="74"/>
      <c r="BQ568" s="74"/>
      <c r="BR568" s="74"/>
      <c r="BS568" s="74"/>
      <c r="BT568" s="74"/>
      <c r="BU568" s="74"/>
      <c r="BV568" s="74"/>
      <c r="BW568" s="74"/>
      <c r="BX568" s="74"/>
      <c r="BY568" s="74"/>
      <c r="BZ568" s="74"/>
      <c r="CA568" s="74"/>
      <c r="CB568" s="74"/>
      <c r="CC568" s="74"/>
      <c r="CD568" s="74"/>
      <c r="CE568" s="74"/>
      <c r="CF568" s="74"/>
      <c r="CG568" s="74"/>
      <c r="CH568" s="74"/>
      <c r="CI568" s="74"/>
      <c r="CJ568" s="74"/>
      <c r="CK568" s="74"/>
      <c r="CL568" s="74"/>
      <c r="CM568" s="74"/>
      <c r="CN568" s="74"/>
      <c r="CO568" s="74"/>
      <c r="CP568" s="74"/>
      <c r="CQ568" s="74"/>
      <c r="CR568" s="74"/>
      <c r="CS568" s="74"/>
      <c r="CT568" s="74"/>
      <c r="CU568" s="74"/>
      <c r="CV568" s="74"/>
      <c r="CW568" s="74"/>
      <c r="CX568" s="74"/>
      <c r="CY568" s="74"/>
      <c r="CZ568" s="74"/>
      <c r="DA568" s="74"/>
      <c r="DB568" s="74"/>
      <c r="DC568" s="74"/>
    </row>
    <row r="569" spans="15:107" customFormat="1" x14ac:dyDescent="0.35">
      <c r="O569" s="76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  <c r="AS569" s="74"/>
      <c r="AT569" s="74"/>
      <c r="AU569" s="74"/>
      <c r="AV569" s="74"/>
      <c r="AW569" s="74"/>
      <c r="AX569" s="74"/>
      <c r="AY569" s="74"/>
      <c r="AZ569" s="74"/>
      <c r="BA569" s="74"/>
      <c r="BB569" s="74"/>
      <c r="BC569" s="74"/>
      <c r="BD569" s="74"/>
      <c r="BE569" s="74"/>
      <c r="BF569" s="74"/>
      <c r="BG569" s="74"/>
      <c r="BH569" s="74"/>
      <c r="BI569" s="74"/>
      <c r="BJ569" s="74"/>
      <c r="BK569" s="74"/>
      <c r="BL569" s="74"/>
      <c r="BM569" s="74"/>
      <c r="BN569" s="74"/>
      <c r="BO569" s="74"/>
      <c r="BP569" s="74"/>
      <c r="BQ569" s="74"/>
      <c r="BR569" s="74"/>
      <c r="BS569" s="74"/>
      <c r="BT569" s="74"/>
      <c r="BU569" s="74"/>
      <c r="BV569" s="74"/>
      <c r="BW569" s="74"/>
      <c r="BX569" s="74"/>
      <c r="BY569" s="74"/>
      <c r="BZ569" s="74"/>
      <c r="CA569" s="74"/>
      <c r="CB569" s="74"/>
      <c r="CC569" s="74"/>
      <c r="CD569" s="74"/>
      <c r="CE569" s="74"/>
      <c r="CF569" s="74"/>
      <c r="CG569" s="74"/>
      <c r="CH569" s="74"/>
      <c r="CI569" s="74"/>
      <c r="CJ569" s="74"/>
      <c r="CK569" s="74"/>
      <c r="CL569" s="74"/>
      <c r="CM569" s="74"/>
      <c r="CN569" s="74"/>
      <c r="CO569" s="74"/>
      <c r="CP569" s="74"/>
      <c r="CQ569" s="74"/>
      <c r="CR569" s="74"/>
      <c r="CS569" s="74"/>
      <c r="CT569" s="74"/>
      <c r="CU569" s="74"/>
      <c r="CV569" s="74"/>
      <c r="CW569" s="74"/>
      <c r="CX569" s="74"/>
      <c r="CY569" s="74"/>
      <c r="CZ569" s="74"/>
      <c r="DA569" s="74"/>
      <c r="DB569" s="74"/>
      <c r="DC569" s="74"/>
    </row>
    <row r="570" spans="15:107" customFormat="1" x14ac:dyDescent="0.35">
      <c r="O570" s="76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  <c r="BN570" s="74"/>
      <c r="BO570" s="74"/>
      <c r="BP570" s="74"/>
      <c r="BQ570" s="74"/>
      <c r="BR570" s="74"/>
      <c r="BS570" s="74"/>
      <c r="BT570" s="74"/>
      <c r="BU570" s="74"/>
      <c r="BV570" s="74"/>
      <c r="BW570" s="74"/>
      <c r="BX570" s="74"/>
      <c r="BY570" s="74"/>
      <c r="BZ570" s="74"/>
      <c r="CA570" s="74"/>
      <c r="CB570" s="74"/>
      <c r="CC570" s="74"/>
      <c r="CD570" s="74"/>
      <c r="CE570" s="74"/>
      <c r="CF570" s="74"/>
      <c r="CG570" s="74"/>
      <c r="CH570" s="74"/>
      <c r="CI570" s="74"/>
      <c r="CJ570" s="74"/>
      <c r="CK570" s="74"/>
      <c r="CL570" s="74"/>
      <c r="CM570" s="74"/>
      <c r="CN570" s="74"/>
      <c r="CO570" s="74"/>
      <c r="CP570" s="74"/>
      <c r="CQ570" s="74"/>
      <c r="CR570" s="74"/>
      <c r="CS570" s="74"/>
      <c r="CT570" s="74"/>
      <c r="CU570" s="74"/>
      <c r="CV570" s="74"/>
      <c r="CW570" s="74"/>
      <c r="CX570" s="74"/>
      <c r="CY570" s="74"/>
      <c r="CZ570" s="74"/>
      <c r="DA570" s="74"/>
      <c r="DB570" s="74"/>
      <c r="DC570" s="74"/>
    </row>
    <row r="571" spans="15:107" customFormat="1" x14ac:dyDescent="0.35">
      <c r="O571" s="76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74"/>
      <c r="BO571" s="74"/>
      <c r="BP571" s="74"/>
      <c r="BQ571" s="74"/>
      <c r="BR571" s="74"/>
      <c r="BS571" s="74"/>
      <c r="BT571" s="74"/>
      <c r="BU571" s="74"/>
      <c r="BV571" s="74"/>
      <c r="BW571" s="74"/>
      <c r="BX571" s="74"/>
      <c r="BY571" s="74"/>
      <c r="BZ571" s="74"/>
      <c r="CA571" s="74"/>
      <c r="CB571" s="74"/>
      <c r="CC571" s="74"/>
      <c r="CD571" s="74"/>
      <c r="CE571" s="74"/>
      <c r="CF571" s="74"/>
      <c r="CG571" s="74"/>
      <c r="CH571" s="74"/>
      <c r="CI571" s="74"/>
      <c r="CJ571" s="74"/>
      <c r="CK571" s="74"/>
      <c r="CL571" s="74"/>
      <c r="CM571" s="74"/>
      <c r="CN571" s="74"/>
      <c r="CO571" s="74"/>
      <c r="CP571" s="74"/>
      <c r="CQ571" s="74"/>
      <c r="CR571" s="74"/>
      <c r="CS571" s="74"/>
      <c r="CT571" s="74"/>
      <c r="CU571" s="74"/>
      <c r="CV571" s="74"/>
      <c r="CW571" s="74"/>
      <c r="CX571" s="74"/>
      <c r="CY571" s="74"/>
      <c r="CZ571" s="74"/>
      <c r="DA571" s="74"/>
      <c r="DB571" s="74"/>
      <c r="DC571" s="74"/>
    </row>
    <row r="572" spans="15:107" customFormat="1" x14ac:dyDescent="0.35">
      <c r="O572" s="76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  <c r="BN572" s="74"/>
      <c r="BO572" s="74"/>
      <c r="BP572" s="74"/>
      <c r="BQ572" s="74"/>
      <c r="BR572" s="74"/>
      <c r="BS572" s="74"/>
      <c r="BT572" s="74"/>
      <c r="BU572" s="74"/>
      <c r="BV572" s="74"/>
      <c r="BW572" s="74"/>
      <c r="BX572" s="74"/>
      <c r="BY572" s="74"/>
      <c r="BZ572" s="74"/>
      <c r="CA572" s="74"/>
      <c r="CB572" s="74"/>
      <c r="CC572" s="74"/>
      <c r="CD572" s="74"/>
      <c r="CE572" s="74"/>
      <c r="CF572" s="74"/>
      <c r="CG572" s="74"/>
      <c r="CH572" s="74"/>
      <c r="CI572" s="74"/>
      <c r="CJ572" s="74"/>
      <c r="CK572" s="74"/>
      <c r="CL572" s="74"/>
      <c r="CM572" s="74"/>
      <c r="CN572" s="74"/>
      <c r="CO572" s="74"/>
      <c r="CP572" s="74"/>
      <c r="CQ572" s="74"/>
      <c r="CR572" s="74"/>
      <c r="CS572" s="74"/>
      <c r="CT572" s="74"/>
      <c r="CU572" s="74"/>
      <c r="CV572" s="74"/>
      <c r="CW572" s="74"/>
      <c r="CX572" s="74"/>
      <c r="CY572" s="74"/>
      <c r="CZ572" s="74"/>
      <c r="DA572" s="74"/>
      <c r="DB572" s="74"/>
      <c r="DC572" s="74"/>
    </row>
    <row r="573" spans="15:107" customFormat="1" x14ac:dyDescent="0.35">
      <c r="O573" s="76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  <c r="BN573" s="74"/>
      <c r="BO573" s="74"/>
      <c r="BP573" s="74"/>
      <c r="BQ573" s="74"/>
      <c r="BR573" s="74"/>
      <c r="BS573" s="74"/>
      <c r="BT573" s="74"/>
      <c r="BU573" s="74"/>
      <c r="BV573" s="74"/>
      <c r="BW573" s="74"/>
      <c r="BX573" s="74"/>
      <c r="BY573" s="74"/>
      <c r="BZ573" s="74"/>
      <c r="CA573" s="74"/>
      <c r="CB573" s="74"/>
      <c r="CC573" s="74"/>
      <c r="CD573" s="74"/>
      <c r="CE573" s="74"/>
      <c r="CF573" s="74"/>
      <c r="CG573" s="74"/>
      <c r="CH573" s="74"/>
      <c r="CI573" s="74"/>
      <c r="CJ573" s="74"/>
      <c r="CK573" s="74"/>
      <c r="CL573" s="74"/>
      <c r="CM573" s="74"/>
      <c r="CN573" s="74"/>
      <c r="CO573" s="74"/>
      <c r="CP573" s="74"/>
      <c r="CQ573" s="74"/>
      <c r="CR573" s="74"/>
      <c r="CS573" s="74"/>
      <c r="CT573" s="74"/>
      <c r="CU573" s="74"/>
      <c r="CV573" s="74"/>
      <c r="CW573" s="74"/>
      <c r="CX573" s="74"/>
      <c r="CY573" s="74"/>
      <c r="CZ573" s="74"/>
      <c r="DA573" s="74"/>
      <c r="DB573" s="74"/>
      <c r="DC573" s="74"/>
    </row>
    <row r="574" spans="15:107" customFormat="1" x14ac:dyDescent="0.35">
      <c r="O574" s="76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  <c r="BN574" s="74"/>
      <c r="BO574" s="74"/>
      <c r="BP574" s="74"/>
      <c r="BQ574" s="74"/>
      <c r="BR574" s="74"/>
      <c r="BS574" s="74"/>
      <c r="BT574" s="74"/>
      <c r="BU574" s="74"/>
      <c r="BV574" s="74"/>
      <c r="BW574" s="74"/>
      <c r="BX574" s="74"/>
      <c r="BY574" s="74"/>
      <c r="BZ574" s="74"/>
      <c r="CA574" s="74"/>
      <c r="CB574" s="74"/>
      <c r="CC574" s="74"/>
      <c r="CD574" s="74"/>
      <c r="CE574" s="74"/>
      <c r="CF574" s="74"/>
      <c r="CG574" s="74"/>
      <c r="CH574" s="74"/>
      <c r="CI574" s="74"/>
      <c r="CJ574" s="74"/>
      <c r="CK574" s="74"/>
      <c r="CL574" s="74"/>
      <c r="CM574" s="74"/>
      <c r="CN574" s="74"/>
      <c r="CO574" s="74"/>
      <c r="CP574" s="74"/>
      <c r="CQ574" s="74"/>
      <c r="CR574" s="74"/>
      <c r="CS574" s="74"/>
      <c r="CT574" s="74"/>
      <c r="CU574" s="74"/>
      <c r="CV574" s="74"/>
      <c r="CW574" s="74"/>
      <c r="CX574" s="74"/>
      <c r="CY574" s="74"/>
      <c r="CZ574" s="74"/>
      <c r="DA574" s="74"/>
      <c r="DB574" s="74"/>
      <c r="DC574" s="74"/>
    </row>
    <row r="575" spans="15:107" customFormat="1" x14ac:dyDescent="0.35">
      <c r="O575" s="76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  <c r="BN575" s="74"/>
      <c r="BO575" s="74"/>
      <c r="BP575" s="74"/>
      <c r="BQ575" s="74"/>
      <c r="BR575" s="74"/>
      <c r="BS575" s="74"/>
      <c r="BT575" s="74"/>
      <c r="BU575" s="74"/>
      <c r="BV575" s="74"/>
      <c r="BW575" s="74"/>
      <c r="BX575" s="74"/>
      <c r="BY575" s="74"/>
      <c r="BZ575" s="74"/>
      <c r="CA575" s="74"/>
      <c r="CB575" s="74"/>
      <c r="CC575" s="74"/>
      <c r="CD575" s="74"/>
      <c r="CE575" s="74"/>
      <c r="CF575" s="74"/>
      <c r="CG575" s="74"/>
      <c r="CH575" s="74"/>
      <c r="CI575" s="74"/>
      <c r="CJ575" s="74"/>
      <c r="CK575" s="74"/>
      <c r="CL575" s="74"/>
      <c r="CM575" s="74"/>
      <c r="CN575" s="74"/>
      <c r="CO575" s="74"/>
      <c r="CP575" s="74"/>
      <c r="CQ575" s="74"/>
      <c r="CR575" s="74"/>
      <c r="CS575" s="74"/>
      <c r="CT575" s="74"/>
      <c r="CU575" s="74"/>
      <c r="CV575" s="74"/>
      <c r="CW575" s="74"/>
      <c r="CX575" s="74"/>
      <c r="CY575" s="74"/>
      <c r="CZ575" s="74"/>
      <c r="DA575" s="74"/>
      <c r="DB575" s="74"/>
      <c r="DC575" s="74"/>
    </row>
    <row r="576" spans="15:107" customFormat="1" x14ac:dyDescent="0.35">
      <c r="O576" s="76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  <c r="BN576" s="74"/>
      <c r="BO576" s="74"/>
      <c r="BP576" s="74"/>
      <c r="BQ576" s="74"/>
      <c r="BR576" s="74"/>
      <c r="BS576" s="74"/>
      <c r="BT576" s="74"/>
      <c r="BU576" s="74"/>
      <c r="BV576" s="74"/>
      <c r="BW576" s="74"/>
      <c r="BX576" s="74"/>
      <c r="BY576" s="74"/>
      <c r="BZ576" s="74"/>
      <c r="CA576" s="74"/>
      <c r="CB576" s="74"/>
      <c r="CC576" s="74"/>
      <c r="CD576" s="74"/>
      <c r="CE576" s="74"/>
      <c r="CF576" s="74"/>
      <c r="CG576" s="74"/>
      <c r="CH576" s="74"/>
      <c r="CI576" s="74"/>
      <c r="CJ576" s="74"/>
      <c r="CK576" s="74"/>
      <c r="CL576" s="74"/>
      <c r="CM576" s="74"/>
      <c r="CN576" s="74"/>
      <c r="CO576" s="74"/>
      <c r="CP576" s="74"/>
      <c r="CQ576" s="74"/>
      <c r="CR576" s="74"/>
      <c r="CS576" s="74"/>
      <c r="CT576" s="74"/>
      <c r="CU576" s="74"/>
      <c r="CV576" s="74"/>
      <c r="CW576" s="74"/>
      <c r="CX576" s="74"/>
      <c r="CY576" s="74"/>
      <c r="CZ576" s="74"/>
      <c r="DA576" s="74"/>
      <c r="DB576" s="74"/>
      <c r="DC576" s="74"/>
    </row>
    <row r="577" spans="15:107" customFormat="1" x14ac:dyDescent="0.35">
      <c r="O577" s="76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  <c r="BN577" s="74"/>
      <c r="BO577" s="74"/>
      <c r="BP577" s="74"/>
      <c r="BQ577" s="74"/>
      <c r="BR577" s="74"/>
      <c r="BS577" s="74"/>
      <c r="BT577" s="74"/>
      <c r="BU577" s="74"/>
      <c r="BV577" s="74"/>
      <c r="BW577" s="74"/>
      <c r="BX577" s="74"/>
      <c r="BY577" s="74"/>
      <c r="BZ577" s="74"/>
      <c r="CA577" s="74"/>
      <c r="CB577" s="74"/>
      <c r="CC577" s="74"/>
      <c r="CD577" s="74"/>
      <c r="CE577" s="74"/>
      <c r="CF577" s="74"/>
      <c r="CG577" s="74"/>
      <c r="CH577" s="74"/>
      <c r="CI577" s="74"/>
      <c r="CJ577" s="74"/>
      <c r="CK577" s="74"/>
      <c r="CL577" s="74"/>
      <c r="CM577" s="74"/>
      <c r="CN577" s="74"/>
      <c r="CO577" s="74"/>
      <c r="CP577" s="74"/>
      <c r="CQ577" s="74"/>
      <c r="CR577" s="74"/>
      <c r="CS577" s="74"/>
      <c r="CT577" s="74"/>
      <c r="CU577" s="74"/>
      <c r="CV577" s="74"/>
      <c r="CW577" s="74"/>
      <c r="CX577" s="74"/>
      <c r="CY577" s="74"/>
      <c r="CZ577" s="74"/>
      <c r="DA577" s="74"/>
      <c r="DB577" s="74"/>
      <c r="DC577" s="74"/>
    </row>
    <row r="578" spans="15:107" customFormat="1" x14ac:dyDescent="0.35">
      <c r="O578" s="76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  <c r="BN578" s="74"/>
      <c r="BO578" s="74"/>
      <c r="BP578" s="74"/>
      <c r="BQ578" s="74"/>
      <c r="BR578" s="74"/>
      <c r="BS578" s="74"/>
      <c r="BT578" s="74"/>
      <c r="BU578" s="74"/>
      <c r="BV578" s="74"/>
      <c r="BW578" s="74"/>
      <c r="BX578" s="74"/>
      <c r="BY578" s="74"/>
      <c r="BZ578" s="74"/>
      <c r="CA578" s="74"/>
      <c r="CB578" s="74"/>
      <c r="CC578" s="74"/>
      <c r="CD578" s="74"/>
      <c r="CE578" s="74"/>
      <c r="CF578" s="74"/>
      <c r="CG578" s="74"/>
      <c r="CH578" s="74"/>
      <c r="CI578" s="74"/>
      <c r="CJ578" s="74"/>
      <c r="CK578" s="74"/>
      <c r="CL578" s="74"/>
      <c r="CM578" s="74"/>
      <c r="CN578" s="74"/>
      <c r="CO578" s="74"/>
      <c r="CP578" s="74"/>
      <c r="CQ578" s="74"/>
      <c r="CR578" s="74"/>
      <c r="CS578" s="74"/>
      <c r="CT578" s="74"/>
      <c r="CU578" s="74"/>
      <c r="CV578" s="74"/>
      <c r="CW578" s="74"/>
      <c r="CX578" s="74"/>
      <c r="CY578" s="74"/>
      <c r="CZ578" s="74"/>
      <c r="DA578" s="74"/>
      <c r="DB578" s="74"/>
      <c r="DC578" s="74"/>
    </row>
    <row r="579" spans="15:107" customFormat="1" x14ac:dyDescent="0.35">
      <c r="O579" s="76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  <c r="BN579" s="74"/>
      <c r="BO579" s="74"/>
      <c r="BP579" s="74"/>
      <c r="BQ579" s="74"/>
      <c r="BR579" s="74"/>
      <c r="BS579" s="74"/>
      <c r="BT579" s="74"/>
      <c r="BU579" s="74"/>
      <c r="BV579" s="74"/>
      <c r="BW579" s="74"/>
      <c r="BX579" s="74"/>
      <c r="BY579" s="74"/>
      <c r="BZ579" s="74"/>
      <c r="CA579" s="74"/>
      <c r="CB579" s="74"/>
      <c r="CC579" s="74"/>
      <c r="CD579" s="74"/>
      <c r="CE579" s="74"/>
      <c r="CF579" s="74"/>
      <c r="CG579" s="74"/>
      <c r="CH579" s="74"/>
      <c r="CI579" s="74"/>
      <c r="CJ579" s="74"/>
      <c r="CK579" s="74"/>
      <c r="CL579" s="74"/>
      <c r="CM579" s="74"/>
      <c r="CN579" s="74"/>
      <c r="CO579" s="74"/>
      <c r="CP579" s="74"/>
      <c r="CQ579" s="74"/>
      <c r="CR579" s="74"/>
      <c r="CS579" s="74"/>
      <c r="CT579" s="74"/>
      <c r="CU579" s="74"/>
      <c r="CV579" s="74"/>
      <c r="CW579" s="74"/>
      <c r="CX579" s="74"/>
      <c r="CY579" s="74"/>
      <c r="CZ579" s="74"/>
      <c r="DA579" s="74"/>
      <c r="DB579" s="74"/>
      <c r="DC579" s="74"/>
    </row>
    <row r="580" spans="15:107" customFormat="1" x14ac:dyDescent="0.35">
      <c r="O580" s="76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  <c r="AX580" s="74"/>
      <c r="AY580" s="74"/>
      <c r="AZ580" s="74"/>
      <c r="BA580" s="74"/>
      <c r="BB580" s="74"/>
      <c r="BC580" s="74"/>
      <c r="BD580" s="74"/>
      <c r="BE580" s="74"/>
      <c r="BF580" s="74"/>
      <c r="BG580" s="74"/>
      <c r="BH580" s="74"/>
      <c r="BI580" s="74"/>
      <c r="BJ580" s="74"/>
      <c r="BK580" s="74"/>
      <c r="BL580" s="74"/>
      <c r="BM580" s="74"/>
      <c r="BN580" s="74"/>
      <c r="BO580" s="74"/>
      <c r="BP580" s="74"/>
      <c r="BQ580" s="74"/>
      <c r="BR580" s="74"/>
      <c r="BS580" s="74"/>
      <c r="BT580" s="74"/>
      <c r="BU580" s="74"/>
      <c r="BV580" s="74"/>
      <c r="BW580" s="74"/>
      <c r="BX580" s="74"/>
      <c r="BY580" s="74"/>
      <c r="BZ580" s="74"/>
      <c r="CA580" s="74"/>
      <c r="CB580" s="74"/>
      <c r="CC580" s="74"/>
      <c r="CD580" s="74"/>
      <c r="CE580" s="74"/>
      <c r="CF580" s="74"/>
      <c r="CG580" s="74"/>
      <c r="CH580" s="74"/>
      <c r="CI580" s="74"/>
      <c r="CJ580" s="74"/>
      <c r="CK580" s="74"/>
      <c r="CL580" s="74"/>
      <c r="CM580" s="74"/>
      <c r="CN580" s="74"/>
      <c r="CO580" s="74"/>
      <c r="CP580" s="74"/>
      <c r="CQ580" s="74"/>
      <c r="CR580" s="74"/>
      <c r="CS580" s="74"/>
      <c r="CT580" s="74"/>
      <c r="CU580" s="74"/>
      <c r="CV580" s="74"/>
      <c r="CW580" s="74"/>
      <c r="CX580" s="74"/>
      <c r="CY580" s="74"/>
      <c r="CZ580" s="74"/>
      <c r="DA580" s="74"/>
      <c r="DB580" s="74"/>
      <c r="DC580" s="74"/>
    </row>
    <row r="581" spans="15:107" customFormat="1" x14ac:dyDescent="0.35">
      <c r="O581" s="76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  <c r="AS581" s="74"/>
      <c r="AT581" s="74"/>
      <c r="AU581" s="74"/>
      <c r="AV581" s="74"/>
      <c r="AW581" s="74"/>
      <c r="AX581" s="74"/>
      <c r="AY581" s="74"/>
      <c r="AZ581" s="74"/>
      <c r="BA581" s="74"/>
      <c r="BB581" s="74"/>
      <c r="BC581" s="74"/>
      <c r="BD581" s="74"/>
      <c r="BE581" s="74"/>
      <c r="BF581" s="74"/>
      <c r="BG581" s="74"/>
      <c r="BH581" s="74"/>
      <c r="BI581" s="74"/>
      <c r="BJ581" s="74"/>
      <c r="BK581" s="74"/>
      <c r="BL581" s="74"/>
      <c r="BM581" s="74"/>
      <c r="BN581" s="74"/>
      <c r="BO581" s="74"/>
      <c r="BP581" s="74"/>
      <c r="BQ581" s="74"/>
      <c r="BR581" s="74"/>
      <c r="BS581" s="74"/>
      <c r="BT581" s="74"/>
      <c r="BU581" s="74"/>
      <c r="BV581" s="74"/>
      <c r="BW581" s="74"/>
      <c r="BX581" s="74"/>
      <c r="BY581" s="74"/>
      <c r="BZ581" s="74"/>
      <c r="CA581" s="74"/>
      <c r="CB581" s="74"/>
      <c r="CC581" s="74"/>
      <c r="CD581" s="74"/>
      <c r="CE581" s="74"/>
      <c r="CF581" s="74"/>
      <c r="CG581" s="74"/>
      <c r="CH581" s="74"/>
      <c r="CI581" s="74"/>
      <c r="CJ581" s="74"/>
      <c r="CK581" s="74"/>
      <c r="CL581" s="74"/>
      <c r="CM581" s="74"/>
      <c r="CN581" s="74"/>
      <c r="CO581" s="74"/>
      <c r="CP581" s="74"/>
      <c r="CQ581" s="74"/>
      <c r="CR581" s="74"/>
      <c r="CS581" s="74"/>
      <c r="CT581" s="74"/>
      <c r="CU581" s="74"/>
      <c r="CV581" s="74"/>
      <c r="CW581" s="74"/>
      <c r="CX581" s="74"/>
      <c r="CY581" s="74"/>
      <c r="CZ581" s="74"/>
      <c r="DA581" s="74"/>
      <c r="DB581" s="74"/>
      <c r="DC581" s="74"/>
    </row>
    <row r="582" spans="15:107" customFormat="1" x14ac:dyDescent="0.35">
      <c r="O582" s="76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  <c r="AS582" s="74"/>
      <c r="AT582" s="74"/>
      <c r="AU582" s="74"/>
      <c r="AV582" s="74"/>
      <c r="AW582" s="74"/>
      <c r="AX582" s="74"/>
      <c r="AY582" s="74"/>
      <c r="AZ582" s="74"/>
      <c r="BA582" s="74"/>
      <c r="BB582" s="74"/>
      <c r="BC582" s="74"/>
      <c r="BD582" s="74"/>
      <c r="BE582" s="74"/>
      <c r="BF582" s="74"/>
      <c r="BG582" s="74"/>
      <c r="BH582" s="74"/>
      <c r="BI582" s="74"/>
      <c r="BJ582" s="74"/>
      <c r="BK582" s="74"/>
      <c r="BL582" s="74"/>
      <c r="BM582" s="74"/>
      <c r="BN582" s="74"/>
      <c r="BO582" s="74"/>
      <c r="BP582" s="74"/>
      <c r="BQ582" s="74"/>
      <c r="BR582" s="74"/>
      <c r="BS582" s="74"/>
      <c r="BT582" s="74"/>
      <c r="BU582" s="74"/>
      <c r="BV582" s="74"/>
      <c r="BW582" s="74"/>
      <c r="BX582" s="74"/>
      <c r="BY582" s="74"/>
      <c r="BZ582" s="74"/>
      <c r="CA582" s="74"/>
      <c r="CB582" s="74"/>
      <c r="CC582" s="74"/>
      <c r="CD582" s="74"/>
      <c r="CE582" s="74"/>
      <c r="CF582" s="74"/>
      <c r="CG582" s="74"/>
      <c r="CH582" s="74"/>
      <c r="CI582" s="74"/>
      <c r="CJ582" s="74"/>
      <c r="CK582" s="74"/>
      <c r="CL582" s="74"/>
      <c r="CM582" s="74"/>
      <c r="CN582" s="74"/>
      <c r="CO582" s="74"/>
      <c r="CP582" s="74"/>
      <c r="CQ582" s="74"/>
      <c r="CR582" s="74"/>
      <c r="CS582" s="74"/>
      <c r="CT582" s="74"/>
      <c r="CU582" s="74"/>
      <c r="CV582" s="74"/>
      <c r="CW582" s="74"/>
      <c r="CX582" s="74"/>
      <c r="CY582" s="74"/>
      <c r="CZ582" s="74"/>
      <c r="DA582" s="74"/>
      <c r="DB582" s="74"/>
      <c r="DC582" s="74"/>
    </row>
    <row r="583" spans="15:107" customFormat="1" x14ac:dyDescent="0.35">
      <c r="O583" s="76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  <c r="AS583" s="74"/>
      <c r="AT583" s="74"/>
      <c r="AU583" s="74"/>
      <c r="AV583" s="74"/>
      <c r="AW583" s="74"/>
      <c r="AX583" s="74"/>
      <c r="AY583" s="74"/>
      <c r="AZ583" s="74"/>
      <c r="BA583" s="74"/>
      <c r="BB583" s="74"/>
      <c r="BC583" s="74"/>
      <c r="BD583" s="74"/>
      <c r="BE583" s="74"/>
      <c r="BF583" s="74"/>
      <c r="BG583" s="74"/>
      <c r="BH583" s="74"/>
      <c r="BI583" s="74"/>
      <c r="BJ583" s="74"/>
      <c r="BK583" s="74"/>
      <c r="BL583" s="74"/>
      <c r="BM583" s="74"/>
      <c r="BN583" s="74"/>
      <c r="BO583" s="74"/>
      <c r="BP583" s="74"/>
      <c r="BQ583" s="74"/>
      <c r="BR583" s="74"/>
      <c r="BS583" s="74"/>
      <c r="BT583" s="74"/>
      <c r="BU583" s="74"/>
      <c r="BV583" s="74"/>
      <c r="BW583" s="74"/>
      <c r="BX583" s="74"/>
      <c r="BY583" s="74"/>
      <c r="BZ583" s="74"/>
      <c r="CA583" s="74"/>
      <c r="CB583" s="74"/>
      <c r="CC583" s="74"/>
      <c r="CD583" s="74"/>
      <c r="CE583" s="74"/>
      <c r="CF583" s="74"/>
      <c r="CG583" s="74"/>
      <c r="CH583" s="74"/>
      <c r="CI583" s="74"/>
      <c r="CJ583" s="74"/>
      <c r="CK583" s="74"/>
      <c r="CL583" s="74"/>
      <c r="CM583" s="74"/>
      <c r="CN583" s="74"/>
      <c r="CO583" s="74"/>
      <c r="CP583" s="74"/>
      <c r="CQ583" s="74"/>
      <c r="CR583" s="74"/>
      <c r="CS583" s="74"/>
      <c r="CT583" s="74"/>
      <c r="CU583" s="74"/>
      <c r="CV583" s="74"/>
      <c r="CW583" s="74"/>
      <c r="CX583" s="74"/>
      <c r="CY583" s="74"/>
      <c r="CZ583" s="74"/>
      <c r="DA583" s="74"/>
      <c r="DB583" s="74"/>
      <c r="DC583" s="74"/>
    </row>
    <row r="584" spans="15:107" customFormat="1" x14ac:dyDescent="0.35">
      <c r="O584" s="76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  <c r="AS584" s="74"/>
      <c r="AT584" s="74"/>
      <c r="AU584" s="74"/>
      <c r="AV584" s="74"/>
      <c r="AW584" s="74"/>
      <c r="AX584" s="74"/>
      <c r="AY584" s="74"/>
      <c r="AZ584" s="74"/>
      <c r="BA584" s="74"/>
      <c r="BB584" s="74"/>
      <c r="BC584" s="74"/>
      <c r="BD584" s="74"/>
      <c r="BE584" s="74"/>
      <c r="BF584" s="74"/>
      <c r="BG584" s="74"/>
      <c r="BH584" s="74"/>
      <c r="BI584" s="74"/>
      <c r="BJ584" s="74"/>
      <c r="BK584" s="74"/>
      <c r="BL584" s="74"/>
      <c r="BM584" s="74"/>
      <c r="BN584" s="74"/>
      <c r="BO584" s="74"/>
      <c r="BP584" s="74"/>
      <c r="BQ584" s="74"/>
      <c r="BR584" s="74"/>
      <c r="BS584" s="74"/>
      <c r="BT584" s="74"/>
      <c r="BU584" s="74"/>
      <c r="BV584" s="74"/>
      <c r="BW584" s="74"/>
      <c r="BX584" s="74"/>
      <c r="BY584" s="74"/>
      <c r="BZ584" s="74"/>
      <c r="CA584" s="74"/>
      <c r="CB584" s="74"/>
      <c r="CC584" s="74"/>
      <c r="CD584" s="74"/>
      <c r="CE584" s="74"/>
      <c r="CF584" s="74"/>
      <c r="CG584" s="74"/>
      <c r="CH584" s="74"/>
      <c r="CI584" s="74"/>
      <c r="CJ584" s="74"/>
      <c r="CK584" s="74"/>
      <c r="CL584" s="74"/>
      <c r="CM584" s="74"/>
      <c r="CN584" s="74"/>
      <c r="CO584" s="74"/>
      <c r="CP584" s="74"/>
      <c r="CQ584" s="74"/>
      <c r="CR584" s="74"/>
      <c r="CS584" s="74"/>
      <c r="CT584" s="74"/>
      <c r="CU584" s="74"/>
      <c r="CV584" s="74"/>
      <c r="CW584" s="74"/>
      <c r="CX584" s="74"/>
      <c r="CY584" s="74"/>
      <c r="CZ584" s="74"/>
      <c r="DA584" s="74"/>
      <c r="DB584" s="74"/>
      <c r="DC584" s="74"/>
    </row>
    <row r="585" spans="15:107" customFormat="1" x14ac:dyDescent="0.35">
      <c r="O585" s="76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  <c r="AX585" s="74"/>
      <c r="AY585" s="74"/>
      <c r="AZ585" s="74"/>
      <c r="BA585" s="74"/>
      <c r="BB585" s="74"/>
      <c r="BC585" s="74"/>
      <c r="BD585" s="74"/>
      <c r="BE585" s="74"/>
      <c r="BF585" s="74"/>
      <c r="BG585" s="74"/>
      <c r="BH585" s="74"/>
      <c r="BI585" s="74"/>
      <c r="BJ585" s="74"/>
      <c r="BK585" s="74"/>
      <c r="BL585" s="74"/>
      <c r="BM585" s="74"/>
      <c r="BN585" s="74"/>
      <c r="BO585" s="74"/>
      <c r="BP585" s="74"/>
      <c r="BQ585" s="74"/>
      <c r="BR585" s="74"/>
      <c r="BS585" s="74"/>
      <c r="BT585" s="74"/>
      <c r="BU585" s="74"/>
      <c r="BV585" s="74"/>
      <c r="BW585" s="74"/>
      <c r="BX585" s="74"/>
      <c r="BY585" s="74"/>
      <c r="BZ585" s="74"/>
      <c r="CA585" s="74"/>
      <c r="CB585" s="74"/>
      <c r="CC585" s="74"/>
      <c r="CD585" s="74"/>
      <c r="CE585" s="74"/>
      <c r="CF585" s="74"/>
      <c r="CG585" s="74"/>
      <c r="CH585" s="74"/>
      <c r="CI585" s="74"/>
      <c r="CJ585" s="74"/>
      <c r="CK585" s="74"/>
      <c r="CL585" s="74"/>
      <c r="CM585" s="74"/>
      <c r="CN585" s="74"/>
      <c r="CO585" s="74"/>
      <c r="CP585" s="74"/>
      <c r="CQ585" s="74"/>
      <c r="CR585" s="74"/>
      <c r="CS585" s="74"/>
      <c r="CT585" s="74"/>
      <c r="CU585" s="74"/>
      <c r="CV585" s="74"/>
      <c r="CW585" s="74"/>
      <c r="CX585" s="74"/>
      <c r="CY585" s="74"/>
      <c r="CZ585" s="74"/>
      <c r="DA585" s="74"/>
      <c r="DB585" s="74"/>
      <c r="DC585" s="74"/>
    </row>
    <row r="586" spans="15:107" customFormat="1" x14ac:dyDescent="0.35">
      <c r="O586" s="76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  <c r="AS586" s="74"/>
      <c r="AT586" s="74"/>
      <c r="AU586" s="74"/>
      <c r="AV586" s="74"/>
      <c r="AW586" s="74"/>
      <c r="AX586" s="74"/>
      <c r="AY586" s="74"/>
      <c r="AZ586" s="74"/>
      <c r="BA586" s="74"/>
      <c r="BB586" s="74"/>
      <c r="BC586" s="74"/>
      <c r="BD586" s="74"/>
      <c r="BE586" s="74"/>
      <c r="BF586" s="74"/>
      <c r="BG586" s="74"/>
      <c r="BH586" s="74"/>
      <c r="BI586" s="74"/>
      <c r="BJ586" s="74"/>
      <c r="BK586" s="74"/>
      <c r="BL586" s="74"/>
      <c r="BM586" s="74"/>
      <c r="BN586" s="74"/>
      <c r="BO586" s="74"/>
      <c r="BP586" s="74"/>
      <c r="BQ586" s="74"/>
      <c r="BR586" s="74"/>
      <c r="BS586" s="74"/>
      <c r="BT586" s="74"/>
      <c r="BU586" s="74"/>
      <c r="BV586" s="74"/>
      <c r="BW586" s="74"/>
      <c r="BX586" s="74"/>
      <c r="BY586" s="74"/>
      <c r="BZ586" s="74"/>
      <c r="CA586" s="74"/>
      <c r="CB586" s="74"/>
      <c r="CC586" s="74"/>
      <c r="CD586" s="74"/>
      <c r="CE586" s="74"/>
      <c r="CF586" s="74"/>
      <c r="CG586" s="74"/>
      <c r="CH586" s="74"/>
      <c r="CI586" s="74"/>
      <c r="CJ586" s="74"/>
      <c r="CK586" s="74"/>
      <c r="CL586" s="74"/>
      <c r="CM586" s="74"/>
      <c r="CN586" s="74"/>
      <c r="CO586" s="74"/>
      <c r="CP586" s="74"/>
      <c r="CQ586" s="74"/>
      <c r="CR586" s="74"/>
      <c r="CS586" s="74"/>
      <c r="CT586" s="74"/>
      <c r="CU586" s="74"/>
      <c r="CV586" s="74"/>
      <c r="CW586" s="74"/>
      <c r="CX586" s="74"/>
      <c r="CY586" s="74"/>
      <c r="CZ586" s="74"/>
      <c r="DA586" s="74"/>
      <c r="DB586" s="74"/>
      <c r="DC586" s="74"/>
    </row>
    <row r="587" spans="15:107" customFormat="1" x14ac:dyDescent="0.35">
      <c r="O587" s="76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  <c r="AS587" s="74"/>
      <c r="AT587" s="74"/>
      <c r="AU587" s="74"/>
      <c r="AV587" s="74"/>
      <c r="AW587" s="74"/>
      <c r="AX587" s="74"/>
      <c r="AY587" s="74"/>
      <c r="AZ587" s="74"/>
      <c r="BA587" s="74"/>
      <c r="BB587" s="74"/>
      <c r="BC587" s="74"/>
      <c r="BD587" s="74"/>
      <c r="BE587" s="74"/>
      <c r="BF587" s="74"/>
      <c r="BG587" s="74"/>
      <c r="BH587" s="74"/>
      <c r="BI587" s="74"/>
      <c r="BJ587" s="74"/>
      <c r="BK587" s="74"/>
      <c r="BL587" s="74"/>
      <c r="BM587" s="74"/>
      <c r="BN587" s="74"/>
      <c r="BO587" s="74"/>
      <c r="BP587" s="74"/>
      <c r="BQ587" s="74"/>
      <c r="BR587" s="74"/>
      <c r="BS587" s="74"/>
      <c r="BT587" s="74"/>
      <c r="BU587" s="74"/>
      <c r="BV587" s="74"/>
      <c r="BW587" s="74"/>
      <c r="BX587" s="74"/>
      <c r="BY587" s="74"/>
      <c r="BZ587" s="74"/>
      <c r="CA587" s="74"/>
      <c r="CB587" s="74"/>
      <c r="CC587" s="74"/>
      <c r="CD587" s="74"/>
      <c r="CE587" s="74"/>
      <c r="CF587" s="74"/>
      <c r="CG587" s="74"/>
      <c r="CH587" s="74"/>
      <c r="CI587" s="74"/>
      <c r="CJ587" s="74"/>
      <c r="CK587" s="74"/>
      <c r="CL587" s="74"/>
      <c r="CM587" s="74"/>
      <c r="CN587" s="74"/>
      <c r="CO587" s="74"/>
      <c r="CP587" s="74"/>
      <c r="CQ587" s="74"/>
      <c r="CR587" s="74"/>
      <c r="CS587" s="74"/>
      <c r="CT587" s="74"/>
      <c r="CU587" s="74"/>
      <c r="CV587" s="74"/>
      <c r="CW587" s="74"/>
      <c r="CX587" s="74"/>
      <c r="CY587" s="74"/>
      <c r="CZ587" s="74"/>
      <c r="DA587" s="74"/>
      <c r="DB587" s="74"/>
      <c r="DC587" s="74"/>
    </row>
    <row r="588" spans="15:107" customFormat="1" x14ac:dyDescent="0.35">
      <c r="O588" s="76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  <c r="AS588" s="74"/>
      <c r="AT588" s="74"/>
      <c r="AU588" s="74"/>
      <c r="AV588" s="74"/>
      <c r="AW588" s="74"/>
      <c r="AX588" s="74"/>
      <c r="AY588" s="74"/>
      <c r="AZ588" s="74"/>
      <c r="BA588" s="74"/>
      <c r="BB588" s="74"/>
      <c r="BC588" s="74"/>
      <c r="BD588" s="74"/>
      <c r="BE588" s="74"/>
      <c r="BF588" s="74"/>
      <c r="BG588" s="74"/>
      <c r="BH588" s="74"/>
      <c r="BI588" s="74"/>
      <c r="BJ588" s="74"/>
      <c r="BK588" s="74"/>
      <c r="BL588" s="74"/>
      <c r="BM588" s="74"/>
      <c r="BN588" s="74"/>
      <c r="BO588" s="74"/>
      <c r="BP588" s="74"/>
      <c r="BQ588" s="74"/>
      <c r="BR588" s="74"/>
      <c r="BS588" s="74"/>
      <c r="BT588" s="74"/>
      <c r="BU588" s="74"/>
      <c r="BV588" s="74"/>
      <c r="BW588" s="74"/>
      <c r="BX588" s="74"/>
      <c r="BY588" s="74"/>
      <c r="BZ588" s="74"/>
      <c r="CA588" s="74"/>
      <c r="CB588" s="74"/>
      <c r="CC588" s="74"/>
      <c r="CD588" s="74"/>
      <c r="CE588" s="74"/>
      <c r="CF588" s="74"/>
      <c r="CG588" s="74"/>
      <c r="CH588" s="74"/>
      <c r="CI588" s="74"/>
      <c r="CJ588" s="74"/>
      <c r="CK588" s="74"/>
      <c r="CL588" s="74"/>
      <c r="CM588" s="74"/>
      <c r="CN588" s="74"/>
      <c r="CO588" s="74"/>
      <c r="CP588" s="74"/>
      <c r="CQ588" s="74"/>
      <c r="CR588" s="74"/>
      <c r="CS588" s="74"/>
      <c r="CT588" s="74"/>
      <c r="CU588" s="74"/>
      <c r="CV588" s="74"/>
      <c r="CW588" s="74"/>
      <c r="CX588" s="74"/>
      <c r="CY588" s="74"/>
      <c r="CZ588" s="74"/>
      <c r="DA588" s="74"/>
      <c r="DB588" s="74"/>
      <c r="DC588" s="74"/>
    </row>
    <row r="589" spans="15:107" customFormat="1" x14ac:dyDescent="0.35">
      <c r="O589" s="76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74"/>
      <c r="AT589" s="74"/>
      <c r="AU589" s="74"/>
      <c r="AV589" s="74"/>
      <c r="AW589" s="74"/>
      <c r="AX589" s="74"/>
      <c r="AY589" s="74"/>
      <c r="AZ589" s="74"/>
      <c r="BA589" s="74"/>
      <c r="BB589" s="74"/>
      <c r="BC589" s="74"/>
      <c r="BD589" s="74"/>
      <c r="BE589" s="74"/>
      <c r="BF589" s="74"/>
      <c r="BG589" s="74"/>
      <c r="BH589" s="74"/>
      <c r="BI589" s="74"/>
      <c r="BJ589" s="74"/>
      <c r="BK589" s="74"/>
      <c r="BL589" s="74"/>
      <c r="BM589" s="74"/>
      <c r="BN589" s="74"/>
      <c r="BO589" s="74"/>
      <c r="BP589" s="74"/>
      <c r="BQ589" s="74"/>
      <c r="BR589" s="74"/>
      <c r="BS589" s="74"/>
      <c r="BT589" s="74"/>
      <c r="BU589" s="74"/>
      <c r="BV589" s="74"/>
      <c r="BW589" s="74"/>
      <c r="BX589" s="74"/>
      <c r="BY589" s="74"/>
      <c r="BZ589" s="74"/>
      <c r="CA589" s="74"/>
      <c r="CB589" s="74"/>
      <c r="CC589" s="74"/>
      <c r="CD589" s="74"/>
      <c r="CE589" s="74"/>
      <c r="CF589" s="74"/>
      <c r="CG589" s="74"/>
      <c r="CH589" s="74"/>
      <c r="CI589" s="74"/>
      <c r="CJ589" s="74"/>
      <c r="CK589" s="74"/>
      <c r="CL589" s="74"/>
      <c r="CM589" s="74"/>
      <c r="CN589" s="74"/>
      <c r="CO589" s="74"/>
      <c r="CP589" s="74"/>
      <c r="CQ589" s="74"/>
      <c r="CR589" s="74"/>
      <c r="CS589" s="74"/>
      <c r="CT589" s="74"/>
      <c r="CU589" s="74"/>
      <c r="CV589" s="74"/>
      <c r="CW589" s="74"/>
      <c r="CX589" s="74"/>
      <c r="CY589" s="74"/>
      <c r="CZ589" s="74"/>
      <c r="DA589" s="74"/>
      <c r="DB589" s="74"/>
      <c r="DC589" s="74"/>
    </row>
    <row r="590" spans="15:107" customFormat="1" x14ac:dyDescent="0.35">
      <c r="O590" s="76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  <c r="AX590" s="74"/>
      <c r="AY590" s="74"/>
      <c r="AZ590" s="74"/>
      <c r="BA590" s="74"/>
      <c r="BB590" s="74"/>
      <c r="BC590" s="74"/>
      <c r="BD590" s="74"/>
      <c r="BE590" s="74"/>
      <c r="BF590" s="74"/>
      <c r="BG590" s="74"/>
      <c r="BH590" s="74"/>
      <c r="BI590" s="74"/>
      <c r="BJ590" s="74"/>
      <c r="BK590" s="74"/>
      <c r="BL590" s="74"/>
      <c r="BM590" s="74"/>
      <c r="BN590" s="74"/>
      <c r="BO590" s="74"/>
      <c r="BP590" s="74"/>
      <c r="BQ590" s="74"/>
      <c r="BR590" s="74"/>
      <c r="BS590" s="74"/>
      <c r="BT590" s="74"/>
      <c r="BU590" s="74"/>
      <c r="BV590" s="74"/>
      <c r="BW590" s="74"/>
      <c r="BX590" s="74"/>
      <c r="BY590" s="74"/>
      <c r="BZ590" s="74"/>
      <c r="CA590" s="74"/>
      <c r="CB590" s="74"/>
      <c r="CC590" s="74"/>
      <c r="CD590" s="74"/>
      <c r="CE590" s="74"/>
      <c r="CF590" s="74"/>
      <c r="CG590" s="74"/>
      <c r="CH590" s="74"/>
      <c r="CI590" s="74"/>
      <c r="CJ590" s="74"/>
      <c r="CK590" s="74"/>
      <c r="CL590" s="74"/>
      <c r="CM590" s="74"/>
      <c r="CN590" s="74"/>
      <c r="CO590" s="74"/>
      <c r="CP590" s="74"/>
      <c r="CQ590" s="74"/>
      <c r="CR590" s="74"/>
      <c r="CS590" s="74"/>
      <c r="CT590" s="74"/>
      <c r="CU590" s="74"/>
      <c r="CV590" s="74"/>
      <c r="CW590" s="74"/>
      <c r="CX590" s="74"/>
      <c r="CY590" s="74"/>
      <c r="CZ590" s="74"/>
      <c r="DA590" s="74"/>
      <c r="DB590" s="74"/>
      <c r="DC590" s="74"/>
    </row>
    <row r="591" spans="15:107" customFormat="1" x14ac:dyDescent="0.35">
      <c r="O591" s="76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74"/>
      <c r="AT591" s="74"/>
      <c r="AU591" s="74"/>
      <c r="AV591" s="74"/>
      <c r="AW591" s="74"/>
      <c r="AX591" s="74"/>
      <c r="AY591" s="74"/>
      <c r="AZ591" s="74"/>
      <c r="BA591" s="74"/>
      <c r="BB591" s="74"/>
      <c r="BC591" s="74"/>
      <c r="BD591" s="74"/>
      <c r="BE591" s="74"/>
      <c r="BF591" s="74"/>
      <c r="BG591" s="74"/>
      <c r="BH591" s="74"/>
      <c r="BI591" s="74"/>
      <c r="BJ591" s="74"/>
      <c r="BK591" s="74"/>
      <c r="BL591" s="74"/>
      <c r="BM591" s="74"/>
      <c r="BN591" s="74"/>
      <c r="BO591" s="74"/>
      <c r="BP591" s="74"/>
      <c r="BQ591" s="74"/>
      <c r="BR591" s="74"/>
      <c r="BS591" s="74"/>
      <c r="BT591" s="74"/>
      <c r="BU591" s="74"/>
      <c r="BV591" s="74"/>
      <c r="BW591" s="74"/>
      <c r="BX591" s="74"/>
      <c r="BY591" s="74"/>
      <c r="BZ591" s="74"/>
      <c r="CA591" s="74"/>
      <c r="CB591" s="74"/>
      <c r="CC591" s="74"/>
      <c r="CD591" s="74"/>
      <c r="CE591" s="74"/>
      <c r="CF591" s="74"/>
      <c r="CG591" s="74"/>
      <c r="CH591" s="74"/>
      <c r="CI591" s="74"/>
      <c r="CJ591" s="74"/>
      <c r="CK591" s="74"/>
      <c r="CL591" s="74"/>
      <c r="CM591" s="74"/>
      <c r="CN591" s="74"/>
      <c r="CO591" s="74"/>
      <c r="CP591" s="74"/>
      <c r="CQ591" s="74"/>
      <c r="CR591" s="74"/>
      <c r="CS591" s="74"/>
      <c r="CT591" s="74"/>
      <c r="CU591" s="74"/>
      <c r="CV591" s="74"/>
      <c r="CW591" s="74"/>
      <c r="CX591" s="74"/>
      <c r="CY591" s="74"/>
      <c r="CZ591" s="74"/>
      <c r="DA591" s="74"/>
      <c r="DB591" s="74"/>
      <c r="DC591" s="74"/>
    </row>
    <row r="592" spans="15:107" customFormat="1" x14ac:dyDescent="0.35">
      <c r="O592" s="76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  <c r="AS592" s="74"/>
      <c r="AT592" s="74"/>
      <c r="AU592" s="74"/>
      <c r="AV592" s="74"/>
      <c r="AW592" s="74"/>
      <c r="AX592" s="74"/>
      <c r="AY592" s="74"/>
      <c r="AZ592" s="74"/>
      <c r="BA592" s="74"/>
      <c r="BB592" s="74"/>
      <c r="BC592" s="74"/>
      <c r="BD592" s="74"/>
      <c r="BE592" s="74"/>
      <c r="BF592" s="74"/>
      <c r="BG592" s="74"/>
      <c r="BH592" s="74"/>
      <c r="BI592" s="74"/>
      <c r="BJ592" s="74"/>
      <c r="BK592" s="74"/>
      <c r="BL592" s="74"/>
      <c r="BM592" s="74"/>
      <c r="BN592" s="74"/>
      <c r="BO592" s="74"/>
      <c r="BP592" s="74"/>
      <c r="BQ592" s="74"/>
      <c r="BR592" s="74"/>
      <c r="BS592" s="74"/>
      <c r="BT592" s="74"/>
      <c r="BU592" s="74"/>
      <c r="BV592" s="74"/>
      <c r="BW592" s="74"/>
      <c r="BX592" s="74"/>
      <c r="BY592" s="74"/>
      <c r="BZ592" s="74"/>
      <c r="CA592" s="74"/>
      <c r="CB592" s="74"/>
      <c r="CC592" s="74"/>
      <c r="CD592" s="74"/>
      <c r="CE592" s="74"/>
      <c r="CF592" s="74"/>
      <c r="CG592" s="74"/>
      <c r="CH592" s="74"/>
      <c r="CI592" s="74"/>
      <c r="CJ592" s="74"/>
      <c r="CK592" s="74"/>
      <c r="CL592" s="74"/>
      <c r="CM592" s="74"/>
      <c r="CN592" s="74"/>
      <c r="CO592" s="74"/>
      <c r="CP592" s="74"/>
      <c r="CQ592" s="74"/>
      <c r="CR592" s="74"/>
      <c r="CS592" s="74"/>
      <c r="CT592" s="74"/>
      <c r="CU592" s="74"/>
      <c r="CV592" s="74"/>
      <c r="CW592" s="74"/>
      <c r="CX592" s="74"/>
      <c r="CY592" s="74"/>
      <c r="CZ592" s="74"/>
      <c r="DA592" s="74"/>
      <c r="DB592" s="74"/>
      <c r="DC592" s="74"/>
    </row>
    <row r="593" spans="15:107" customFormat="1" x14ac:dyDescent="0.35">
      <c r="O593" s="76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  <c r="AS593" s="74"/>
      <c r="AT593" s="74"/>
      <c r="AU593" s="74"/>
      <c r="AV593" s="74"/>
      <c r="AW593" s="74"/>
      <c r="AX593" s="74"/>
      <c r="AY593" s="74"/>
      <c r="AZ593" s="74"/>
      <c r="BA593" s="74"/>
      <c r="BB593" s="74"/>
      <c r="BC593" s="74"/>
      <c r="BD593" s="74"/>
      <c r="BE593" s="74"/>
      <c r="BF593" s="74"/>
      <c r="BG593" s="74"/>
      <c r="BH593" s="74"/>
      <c r="BI593" s="74"/>
      <c r="BJ593" s="74"/>
      <c r="BK593" s="74"/>
      <c r="BL593" s="74"/>
      <c r="BM593" s="74"/>
      <c r="BN593" s="74"/>
      <c r="BO593" s="74"/>
      <c r="BP593" s="74"/>
      <c r="BQ593" s="74"/>
      <c r="BR593" s="74"/>
      <c r="BS593" s="74"/>
      <c r="BT593" s="74"/>
      <c r="BU593" s="74"/>
      <c r="BV593" s="74"/>
      <c r="BW593" s="74"/>
      <c r="BX593" s="74"/>
      <c r="BY593" s="74"/>
      <c r="BZ593" s="74"/>
      <c r="CA593" s="74"/>
      <c r="CB593" s="74"/>
      <c r="CC593" s="74"/>
      <c r="CD593" s="74"/>
      <c r="CE593" s="74"/>
      <c r="CF593" s="74"/>
      <c r="CG593" s="74"/>
      <c r="CH593" s="74"/>
      <c r="CI593" s="74"/>
      <c r="CJ593" s="74"/>
      <c r="CK593" s="74"/>
      <c r="CL593" s="74"/>
      <c r="CM593" s="74"/>
      <c r="CN593" s="74"/>
      <c r="CO593" s="74"/>
      <c r="CP593" s="74"/>
      <c r="CQ593" s="74"/>
      <c r="CR593" s="74"/>
      <c r="CS593" s="74"/>
      <c r="CT593" s="74"/>
      <c r="CU593" s="74"/>
      <c r="CV593" s="74"/>
      <c r="CW593" s="74"/>
      <c r="CX593" s="74"/>
      <c r="CY593" s="74"/>
      <c r="CZ593" s="74"/>
      <c r="DA593" s="74"/>
      <c r="DB593" s="74"/>
      <c r="DC593" s="74"/>
    </row>
    <row r="594" spans="15:107" customFormat="1" x14ac:dyDescent="0.35">
      <c r="O594" s="76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  <c r="AS594" s="74"/>
      <c r="AT594" s="74"/>
      <c r="AU594" s="74"/>
      <c r="AV594" s="74"/>
      <c r="AW594" s="74"/>
      <c r="AX594" s="74"/>
      <c r="AY594" s="74"/>
      <c r="AZ594" s="74"/>
      <c r="BA594" s="74"/>
      <c r="BB594" s="74"/>
      <c r="BC594" s="74"/>
      <c r="BD594" s="74"/>
      <c r="BE594" s="74"/>
      <c r="BF594" s="74"/>
      <c r="BG594" s="74"/>
      <c r="BH594" s="74"/>
      <c r="BI594" s="74"/>
      <c r="BJ594" s="74"/>
      <c r="BK594" s="74"/>
      <c r="BL594" s="74"/>
      <c r="BM594" s="74"/>
      <c r="BN594" s="74"/>
      <c r="BO594" s="74"/>
      <c r="BP594" s="74"/>
      <c r="BQ594" s="74"/>
      <c r="BR594" s="74"/>
      <c r="BS594" s="74"/>
      <c r="BT594" s="74"/>
      <c r="BU594" s="74"/>
      <c r="BV594" s="74"/>
      <c r="BW594" s="74"/>
      <c r="BX594" s="74"/>
      <c r="BY594" s="74"/>
      <c r="BZ594" s="74"/>
      <c r="CA594" s="74"/>
      <c r="CB594" s="74"/>
      <c r="CC594" s="74"/>
      <c r="CD594" s="74"/>
      <c r="CE594" s="74"/>
      <c r="CF594" s="74"/>
      <c r="CG594" s="74"/>
      <c r="CH594" s="74"/>
      <c r="CI594" s="74"/>
      <c r="CJ594" s="74"/>
      <c r="CK594" s="74"/>
      <c r="CL594" s="74"/>
      <c r="CM594" s="74"/>
      <c r="CN594" s="74"/>
      <c r="CO594" s="74"/>
      <c r="CP594" s="74"/>
      <c r="CQ594" s="74"/>
      <c r="CR594" s="74"/>
      <c r="CS594" s="74"/>
      <c r="CT594" s="74"/>
      <c r="CU594" s="74"/>
      <c r="CV594" s="74"/>
      <c r="CW594" s="74"/>
      <c r="CX594" s="74"/>
      <c r="CY594" s="74"/>
      <c r="CZ594" s="74"/>
      <c r="DA594" s="74"/>
      <c r="DB594" s="74"/>
      <c r="DC594" s="74"/>
    </row>
    <row r="595" spans="15:107" customFormat="1" x14ac:dyDescent="0.35">
      <c r="O595" s="76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  <c r="AX595" s="74"/>
      <c r="AY595" s="74"/>
      <c r="AZ595" s="74"/>
      <c r="BA595" s="74"/>
      <c r="BB595" s="74"/>
      <c r="BC595" s="74"/>
      <c r="BD595" s="74"/>
      <c r="BE595" s="74"/>
      <c r="BF595" s="74"/>
      <c r="BG595" s="74"/>
      <c r="BH595" s="74"/>
      <c r="BI595" s="74"/>
      <c r="BJ595" s="74"/>
      <c r="BK595" s="74"/>
      <c r="BL595" s="74"/>
      <c r="BM595" s="74"/>
      <c r="BN595" s="74"/>
      <c r="BO595" s="74"/>
      <c r="BP595" s="74"/>
      <c r="BQ595" s="74"/>
      <c r="BR595" s="74"/>
      <c r="BS595" s="74"/>
      <c r="BT595" s="74"/>
      <c r="BU595" s="74"/>
      <c r="BV595" s="74"/>
      <c r="BW595" s="74"/>
      <c r="BX595" s="74"/>
      <c r="BY595" s="74"/>
      <c r="BZ595" s="74"/>
      <c r="CA595" s="74"/>
      <c r="CB595" s="74"/>
      <c r="CC595" s="74"/>
      <c r="CD595" s="74"/>
      <c r="CE595" s="74"/>
      <c r="CF595" s="74"/>
      <c r="CG595" s="74"/>
      <c r="CH595" s="74"/>
      <c r="CI595" s="74"/>
      <c r="CJ595" s="74"/>
      <c r="CK595" s="74"/>
      <c r="CL595" s="74"/>
      <c r="CM595" s="74"/>
      <c r="CN595" s="74"/>
      <c r="CO595" s="74"/>
      <c r="CP595" s="74"/>
      <c r="CQ595" s="74"/>
      <c r="CR595" s="74"/>
      <c r="CS595" s="74"/>
      <c r="CT595" s="74"/>
      <c r="CU595" s="74"/>
      <c r="CV595" s="74"/>
      <c r="CW595" s="74"/>
      <c r="CX595" s="74"/>
      <c r="CY595" s="74"/>
      <c r="CZ595" s="74"/>
      <c r="DA595" s="74"/>
      <c r="DB595" s="74"/>
      <c r="DC595" s="74"/>
    </row>
    <row r="596" spans="15:107" customFormat="1" x14ac:dyDescent="0.35">
      <c r="O596" s="76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  <c r="AS596" s="74"/>
      <c r="AT596" s="74"/>
      <c r="AU596" s="74"/>
      <c r="AV596" s="74"/>
      <c r="AW596" s="74"/>
      <c r="AX596" s="74"/>
      <c r="AY596" s="74"/>
      <c r="AZ596" s="74"/>
      <c r="BA596" s="74"/>
      <c r="BB596" s="74"/>
      <c r="BC596" s="74"/>
      <c r="BD596" s="74"/>
      <c r="BE596" s="74"/>
      <c r="BF596" s="74"/>
      <c r="BG596" s="74"/>
      <c r="BH596" s="74"/>
      <c r="BI596" s="74"/>
      <c r="BJ596" s="74"/>
      <c r="BK596" s="74"/>
      <c r="BL596" s="74"/>
      <c r="BM596" s="74"/>
      <c r="BN596" s="74"/>
      <c r="BO596" s="74"/>
      <c r="BP596" s="74"/>
      <c r="BQ596" s="74"/>
      <c r="BR596" s="74"/>
      <c r="BS596" s="74"/>
      <c r="BT596" s="74"/>
      <c r="BU596" s="74"/>
      <c r="BV596" s="74"/>
      <c r="BW596" s="74"/>
      <c r="BX596" s="74"/>
      <c r="BY596" s="74"/>
      <c r="BZ596" s="74"/>
      <c r="CA596" s="74"/>
      <c r="CB596" s="74"/>
      <c r="CC596" s="74"/>
      <c r="CD596" s="74"/>
      <c r="CE596" s="74"/>
      <c r="CF596" s="74"/>
      <c r="CG596" s="74"/>
      <c r="CH596" s="74"/>
      <c r="CI596" s="74"/>
      <c r="CJ596" s="74"/>
      <c r="CK596" s="74"/>
      <c r="CL596" s="74"/>
      <c r="CM596" s="74"/>
      <c r="CN596" s="74"/>
      <c r="CO596" s="74"/>
      <c r="CP596" s="74"/>
      <c r="CQ596" s="74"/>
      <c r="CR596" s="74"/>
      <c r="CS596" s="74"/>
      <c r="CT596" s="74"/>
      <c r="CU596" s="74"/>
      <c r="CV596" s="74"/>
      <c r="CW596" s="74"/>
      <c r="CX596" s="74"/>
      <c r="CY596" s="74"/>
      <c r="CZ596" s="74"/>
      <c r="DA596" s="74"/>
      <c r="DB596" s="74"/>
      <c r="DC596" s="74"/>
    </row>
    <row r="597" spans="15:107" customFormat="1" x14ac:dyDescent="0.35">
      <c r="O597" s="76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  <c r="AS597" s="74"/>
      <c r="AT597" s="74"/>
      <c r="AU597" s="74"/>
      <c r="AV597" s="74"/>
      <c r="AW597" s="74"/>
      <c r="AX597" s="74"/>
      <c r="AY597" s="74"/>
      <c r="AZ597" s="74"/>
      <c r="BA597" s="74"/>
      <c r="BB597" s="74"/>
      <c r="BC597" s="74"/>
      <c r="BD597" s="74"/>
      <c r="BE597" s="74"/>
      <c r="BF597" s="74"/>
      <c r="BG597" s="74"/>
      <c r="BH597" s="74"/>
      <c r="BI597" s="74"/>
      <c r="BJ597" s="74"/>
      <c r="BK597" s="74"/>
      <c r="BL597" s="74"/>
      <c r="BM597" s="74"/>
      <c r="BN597" s="74"/>
      <c r="BO597" s="74"/>
      <c r="BP597" s="74"/>
      <c r="BQ597" s="74"/>
      <c r="BR597" s="74"/>
      <c r="BS597" s="74"/>
      <c r="BT597" s="74"/>
      <c r="BU597" s="74"/>
      <c r="BV597" s="74"/>
      <c r="BW597" s="74"/>
      <c r="BX597" s="74"/>
      <c r="BY597" s="74"/>
      <c r="BZ597" s="74"/>
      <c r="CA597" s="74"/>
      <c r="CB597" s="74"/>
      <c r="CC597" s="74"/>
      <c r="CD597" s="74"/>
      <c r="CE597" s="74"/>
      <c r="CF597" s="74"/>
      <c r="CG597" s="74"/>
      <c r="CH597" s="74"/>
      <c r="CI597" s="74"/>
      <c r="CJ597" s="74"/>
      <c r="CK597" s="74"/>
      <c r="CL597" s="74"/>
      <c r="CM597" s="74"/>
      <c r="CN597" s="74"/>
      <c r="CO597" s="74"/>
      <c r="CP597" s="74"/>
      <c r="CQ597" s="74"/>
      <c r="CR597" s="74"/>
      <c r="CS597" s="74"/>
      <c r="CT597" s="74"/>
      <c r="CU597" s="74"/>
      <c r="CV597" s="74"/>
      <c r="CW597" s="74"/>
      <c r="CX597" s="74"/>
      <c r="CY597" s="74"/>
      <c r="CZ597" s="74"/>
      <c r="DA597" s="74"/>
      <c r="DB597" s="74"/>
      <c r="DC597" s="74"/>
    </row>
    <row r="598" spans="15:107" customFormat="1" x14ac:dyDescent="0.35">
      <c r="O598" s="76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  <c r="AS598" s="74"/>
      <c r="AT598" s="74"/>
      <c r="AU598" s="74"/>
      <c r="AV598" s="74"/>
      <c r="AW598" s="74"/>
      <c r="AX598" s="74"/>
      <c r="AY598" s="74"/>
      <c r="AZ598" s="74"/>
      <c r="BA598" s="74"/>
      <c r="BB598" s="74"/>
      <c r="BC598" s="74"/>
      <c r="BD598" s="74"/>
      <c r="BE598" s="74"/>
      <c r="BF598" s="74"/>
      <c r="BG598" s="74"/>
      <c r="BH598" s="74"/>
      <c r="BI598" s="74"/>
      <c r="BJ598" s="74"/>
      <c r="BK598" s="74"/>
      <c r="BL598" s="74"/>
      <c r="BM598" s="74"/>
      <c r="BN598" s="74"/>
      <c r="BO598" s="74"/>
      <c r="BP598" s="74"/>
      <c r="BQ598" s="74"/>
      <c r="BR598" s="74"/>
      <c r="BS598" s="74"/>
      <c r="BT598" s="74"/>
      <c r="BU598" s="74"/>
      <c r="BV598" s="74"/>
      <c r="BW598" s="74"/>
      <c r="BX598" s="74"/>
      <c r="BY598" s="74"/>
      <c r="BZ598" s="74"/>
      <c r="CA598" s="74"/>
      <c r="CB598" s="74"/>
      <c r="CC598" s="74"/>
      <c r="CD598" s="74"/>
      <c r="CE598" s="74"/>
      <c r="CF598" s="74"/>
      <c r="CG598" s="74"/>
      <c r="CH598" s="74"/>
      <c r="CI598" s="74"/>
      <c r="CJ598" s="74"/>
      <c r="CK598" s="74"/>
      <c r="CL598" s="74"/>
      <c r="CM598" s="74"/>
      <c r="CN598" s="74"/>
      <c r="CO598" s="74"/>
      <c r="CP598" s="74"/>
      <c r="CQ598" s="74"/>
      <c r="CR598" s="74"/>
      <c r="CS598" s="74"/>
      <c r="CT598" s="74"/>
      <c r="CU598" s="74"/>
      <c r="CV598" s="74"/>
      <c r="CW598" s="74"/>
      <c r="CX598" s="74"/>
      <c r="CY598" s="74"/>
      <c r="CZ598" s="74"/>
      <c r="DA598" s="74"/>
      <c r="DB598" s="74"/>
      <c r="DC598" s="74"/>
    </row>
    <row r="599" spans="15:107" customFormat="1" x14ac:dyDescent="0.35">
      <c r="O599" s="76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  <c r="AS599" s="74"/>
      <c r="AT599" s="74"/>
      <c r="AU599" s="74"/>
      <c r="AV599" s="74"/>
      <c r="AW599" s="74"/>
      <c r="AX599" s="74"/>
      <c r="AY599" s="74"/>
      <c r="AZ599" s="74"/>
      <c r="BA599" s="74"/>
      <c r="BB599" s="74"/>
      <c r="BC599" s="74"/>
      <c r="BD599" s="74"/>
      <c r="BE599" s="74"/>
      <c r="BF599" s="74"/>
      <c r="BG599" s="74"/>
      <c r="BH599" s="74"/>
      <c r="BI599" s="74"/>
      <c r="BJ599" s="74"/>
      <c r="BK599" s="74"/>
      <c r="BL599" s="74"/>
      <c r="BM599" s="74"/>
      <c r="BN599" s="74"/>
      <c r="BO599" s="74"/>
      <c r="BP599" s="74"/>
      <c r="BQ599" s="74"/>
      <c r="BR599" s="74"/>
      <c r="BS599" s="74"/>
      <c r="BT599" s="74"/>
      <c r="BU599" s="74"/>
      <c r="BV599" s="74"/>
      <c r="BW599" s="74"/>
      <c r="BX599" s="74"/>
      <c r="BY599" s="74"/>
      <c r="BZ599" s="74"/>
      <c r="CA599" s="74"/>
      <c r="CB599" s="74"/>
      <c r="CC599" s="74"/>
      <c r="CD599" s="74"/>
      <c r="CE599" s="74"/>
      <c r="CF599" s="74"/>
      <c r="CG599" s="74"/>
      <c r="CH599" s="74"/>
      <c r="CI599" s="74"/>
      <c r="CJ599" s="74"/>
      <c r="CK599" s="74"/>
      <c r="CL599" s="74"/>
      <c r="CM599" s="74"/>
      <c r="CN599" s="74"/>
      <c r="CO599" s="74"/>
      <c r="CP599" s="74"/>
      <c r="CQ599" s="74"/>
      <c r="CR599" s="74"/>
      <c r="CS599" s="74"/>
      <c r="CT599" s="74"/>
      <c r="CU599" s="74"/>
      <c r="CV599" s="74"/>
      <c r="CW599" s="74"/>
      <c r="CX599" s="74"/>
      <c r="CY599" s="74"/>
      <c r="CZ599" s="74"/>
      <c r="DA599" s="74"/>
      <c r="DB599" s="74"/>
      <c r="DC599" s="74"/>
    </row>
    <row r="600" spans="15:107" customFormat="1" x14ac:dyDescent="0.35">
      <c r="O600" s="76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  <c r="AX600" s="74"/>
      <c r="AY600" s="74"/>
      <c r="AZ600" s="74"/>
      <c r="BA600" s="74"/>
      <c r="BB600" s="74"/>
      <c r="BC600" s="74"/>
      <c r="BD600" s="74"/>
      <c r="BE600" s="74"/>
      <c r="BF600" s="74"/>
      <c r="BG600" s="74"/>
      <c r="BH600" s="74"/>
      <c r="BI600" s="74"/>
      <c r="BJ600" s="74"/>
      <c r="BK600" s="74"/>
      <c r="BL600" s="74"/>
      <c r="BM600" s="74"/>
      <c r="BN600" s="74"/>
      <c r="BO600" s="74"/>
      <c r="BP600" s="74"/>
      <c r="BQ600" s="74"/>
      <c r="BR600" s="74"/>
      <c r="BS600" s="74"/>
      <c r="BT600" s="74"/>
      <c r="BU600" s="74"/>
      <c r="BV600" s="74"/>
      <c r="BW600" s="74"/>
      <c r="BX600" s="74"/>
      <c r="BY600" s="74"/>
      <c r="BZ600" s="74"/>
      <c r="CA600" s="74"/>
      <c r="CB600" s="74"/>
      <c r="CC600" s="74"/>
      <c r="CD600" s="74"/>
      <c r="CE600" s="74"/>
      <c r="CF600" s="74"/>
      <c r="CG600" s="74"/>
      <c r="CH600" s="74"/>
      <c r="CI600" s="74"/>
      <c r="CJ600" s="74"/>
      <c r="CK600" s="74"/>
      <c r="CL600" s="74"/>
      <c r="CM600" s="74"/>
      <c r="CN600" s="74"/>
      <c r="CO600" s="74"/>
      <c r="CP600" s="74"/>
      <c r="CQ600" s="74"/>
      <c r="CR600" s="74"/>
      <c r="CS600" s="74"/>
      <c r="CT600" s="74"/>
      <c r="CU600" s="74"/>
      <c r="CV600" s="74"/>
      <c r="CW600" s="74"/>
      <c r="CX600" s="74"/>
      <c r="CY600" s="74"/>
      <c r="CZ600" s="74"/>
      <c r="DA600" s="74"/>
      <c r="DB600" s="74"/>
      <c r="DC600" s="74"/>
    </row>
    <row r="601" spans="15:107" customFormat="1" x14ac:dyDescent="0.35">
      <c r="O601" s="76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  <c r="AX601" s="74"/>
      <c r="AY601" s="74"/>
      <c r="AZ601" s="74"/>
      <c r="BA601" s="74"/>
      <c r="BB601" s="74"/>
      <c r="BC601" s="74"/>
      <c r="BD601" s="74"/>
      <c r="BE601" s="74"/>
      <c r="BF601" s="74"/>
      <c r="BG601" s="74"/>
      <c r="BH601" s="74"/>
      <c r="BI601" s="74"/>
      <c r="BJ601" s="74"/>
      <c r="BK601" s="74"/>
      <c r="BL601" s="74"/>
      <c r="BM601" s="74"/>
      <c r="BN601" s="74"/>
      <c r="BO601" s="74"/>
      <c r="BP601" s="74"/>
      <c r="BQ601" s="74"/>
      <c r="BR601" s="74"/>
      <c r="BS601" s="74"/>
      <c r="BT601" s="74"/>
      <c r="BU601" s="74"/>
      <c r="BV601" s="74"/>
      <c r="BW601" s="74"/>
      <c r="BX601" s="74"/>
      <c r="BY601" s="74"/>
      <c r="BZ601" s="74"/>
      <c r="CA601" s="74"/>
      <c r="CB601" s="74"/>
      <c r="CC601" s="74"/>
      <c r="CD601" s="74"/>
      <c r="CE601" s="74"/>
      <c r="CF601" s="74"/>
      <c r="CG601" s="74"/>
      <c r="CH601" s="74"/>
      <c r="CI601" s="74"/>
      <c r="CJ601" s="74"/>
      <c r="CK601" s="74"/>
      <c r="CL601" s="74"/>
      <c r="CM601" s="74"/>
      <c r="CN601" s="74"/>
      <c r="CO601" s="74"/>
      <c r="CP601" s="74"/>
      <c r="CQ601" s="74"/>
      <c r="CR601" s="74"/>
      <c r="CS601" s="74"/>
      <c r="CT601" s="74"/>
      <c r="CU601" s="74"/>
      <c r="CV601" s="74"/>
      <c r="CW601" s="74"/>
      <c r="CX601" s="74"/>
      <c r="CY601" s="74"/>
      <c r="CZ601" s="74"/>
      <c r="DA601" s="74"/>
      <c r="DB601" s="74"/>
      <c r="DC601" s="74"/>
    </row>
    <row r="602" spans="15:107" customFormat="1" x14ac:dyDescent="0.35">
      <c r="O602" s="76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  <c r="AS602" s="74"/>
      <c r="AT602" s="74"/>
      <c r="AU602" s="74"/>
      <c r="AV602" s="74"/>
      <c r="AW602" s="74"/>
      <c r="AX602" s="74"/>
      <c r="AY602" s="74"/>
      <c r="AZ602" s="74"/>
      <c r="BA602" s="74"/>
      <c r="BB602" s="74"/>
      <c r="BC602" s="74"/>
      <c r="BD602" s="74"/>
      <c r="BE602" s="74"/>
      <c r="BF602" s="74"/>
      <c r="BG602" s="74"/>
      <c r="BH602" s="74"/>
      <c r="BI602" s="74"/>
      <c r="BJ602" s="74"/>
      <c r="BK602" s="74"/>
      <c r="BL602" s="74"/>
      <c r="BM602" s="74"/>
      <c r="BN602" s="74"/>
      <c r="BO602" s="74"/>
      <c r="BP602" s="74"/>
      <c r="BQ602" s="74"/>
      <c r="BR602" s="74"/>
      <c r="BS602" s="74"/>
      <c r="BT602" s="74"/>
      <c r="BU602" s="74"/>
      <c r="BV602" s="74"/>
      <c r="BW602" s="74"/>
      <c r="BX602" s="74"/>
      <c r="BY602" s="74"/>
      <c r="BZ602" s="74"/>
      <c r="CA602" s="74"/>
      <c r="CB602" s="74"/>
      <c r="CC602" s="74"/>
      <c r="CD602" s="74"/>
      <c r="CE602" s="74"/>
      <c r="CF602" s="74"/>
      <c r="CG602" s="74"/>
      <c r="CH602" s="74"/>
      <c r="CI602" s="74"/>
      <c r="CJ602" s="74"/>
      <c r="CK602" s="74"/>
      <c r="CL602" s="74"/>
      <c r="CM602" s="74"/>
      <c r="CN602" s="74"/>
      <c r="CO602" s="74"/>
      <c r="CP602" s="74"/>
      <c r="CQ602" s="74"/>
      <c r="CR602" s="74"/>
      <c r="CS602" s="74"/>
      <c r="CT602" s="74"/>
      <c r="CU602" s="74"/>
      <c r="CV602" s="74"/>
      <c r="CW602" s="74"/>
      <c r="CX602" s="74"/>
      <c r="CY602" s="74"/>
      <c r="CZ602" s="74"/>
      <c r="DA602" s="74"/>
      <c r="DB602" s="74"/>
      <c r="DC602" s="74"/>
    </row>
    <row r="603" spans="15:107" customFormat="1" x14ac:dyDescent="0.35">
      <c r="O603" s="76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  <c r="AS603" s="74"/>
      <c r="AT603" s="74"/>
      <c r="AU603" s="74"/>
      <c r="AV603" s="74"/>
      <c r="AW603" s="74"/>
      <c r="AX603" s="74"/>
      <c r="AY603" s="74"/>
      <c r="AZ603" s="74"/>
      <c r="BA603" s="74"/>
      <c r="BB603" s="74"/>
      <c r="BC603" s="74"/>
      <c r="BD603" s="74"/>
      <c r="BE603" s="74"/>
      <c r="BF603" s="74"/>
      <c r="BG603" s="74"/>
      <c r="BH603" s="74"/>
      <c r="BI603" s="74"/>
      <c r="BJ603" s="74"/>
      <c r="BK603" s="74"/>
      <c r="BL603" s="74"/>
      <c r="BM603" s="74"/>
      <c r="BN603" s="74"/>
      <c r="BO603" s="74"/>
      <c r="BP603" s="74"/>
      <c r="BQ603" s="74"/>
      <c r="BR603" s="74"/>
      <c r="BS603" s="74"/>
      <c r="BT603" s="74"/>
      <c r="BU603" s="74"/>
      <c r="BV603" s="74"/>
      <c r="BW603" s="74"/>
      <c r="BX603" s="74"/>
      <c r="BY603" s="74"/>
      <c r="BZ603" s="74"/>
      <c r="CA603" s="74"/>
      <c r="CB603" s="74"/>
      <c r="CC603" s="74"/>
      <c r="CD603" s="74"/>
      <c r="CE603" s="74"/>
      <c r="CF603" s="74"/>
      <c r="CG603" s="74"/>
      <c r="CH603" s="74"/>
      <c r="CI603" s="74"/>
      <c r="CJ603" s="74"/>
      <c r="CK603" s="74"/>
      <c r="CL603" s="74"/>
      <c r="CM603" s="74"/>
      <c r="CN603" s="74"/>
      <c r="CO603" s="74"/>
      <c r="CP603" s="74"/>
      <c r="CQ603" s="74"/>
      <c r="CR603" s="74"/>
      <c r="CS603" s="74"/>
      <c r="CT603" s="74"/>
      <c r="CU603" s="74"/>
      <c r="CV603" s="74"/>
      <c r="CW603" s="74"/>
      <c r="CX603" s="74"/>
      <c r="CY603" s="74"/>
      <c r="CZ603" s="74"/>
      <c r="DA603" s="74"/>
      <c r="DB603" s="74"/>
      <c r="DC603" s="74"/>
    </row>
    <row r="604" spans="15:107" customFormat="1" x14ac:dyDescent="0.35">
      <c r="O604" s="76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  <c r="AS604" s="74"/>
      <c r="AT604" s="74"/>
      <c r="AU604" s="74"/>
      <c r="AV604" s="74"/>
      <c r="AW604" s="74"/>
      <c r="AX604" s="74"/>
      <c r="AY604" s="74"/>
      <c r="AZ604" s="74"/>
      <c r="BA604" s="74"/>
      <c r="BB604" s="74"/>
      <c r="BC604" s="74"/>
      <c r="BD604" s="74"/>
      <c r="BE604" s="74"/>
      <c r="BF604" s="74"/>
      <c r="BG604" s="74"/>
      <c r="BH604" s="74"/>
      <c r="BI604" s="74"/>
      <c r="BJ604" s="74"/>
      <c r="BK604" s="74"/>
      <c r="BL604" s="74"/>
      <c r="BM604" s="74"/>
      <c r="BN604" s="74"/>
      <c r="BO604" s="74"/>
      <c r="BP604" s="74"/>
      <c r="BQ604" s="74"/>
      <c r="BR604" s="74"/>
      <c r="BS604" s="74"/>
      <c r="BT604" s="74"/>
      <c r="BU604" s="74"/>
      <c r="BV604" s="74"/>
      <c r="BW604" s="74"/>
      <c r="BX604" s="74"/>
      <c r="BY604" s="74"/>
      <c r="BZ604" s="74"/>
      <c r="CA604" s="74"/>
      <c r="CB604" s="74"/>
      <c r="CC604" s="74"/>
      <c r="CD604" s="74"/>
      <c r="CE604" s="74"/>
      <c r="CF604" s="74"/>
      <c r="CG604" s="74"/>
      <c r="CH604" s="74"/>
      <c r="CI604" s="74"/>
      <c r="CJ604" s="74"/>
      <c r="CK604" s="74"/>
      <c r="CL604" s="74"/>
      <c r="CM604" s="74"/>
      <c r="CN604" s="74"/>
      <c r="CO604" s="74"/>
      <c r="CP604" s="74"/>
      <c r="CQ604" s="74"/>
      <c r="CR604" s="74"/>
      <c r="CS604" s="74"/>
      <c r="CT604" s="74"/>
      <c r="CU604" s="74"/>
      <c r="CV604" s="74"/>
      <c r="CW604" s="74"/>
      <c r="CX604" s="74"/>
      <c r="CY604" s="74"/>
      <c r="CZ604" s="74"/>
      <c r="DA604" s="74"/>
      <c r="DB604" s="74"/>
      <c r="DC604" s="74"/>
    </row>
    <row r="605" spans="15:107" customFormat="1" x14ac:dyDescent="0.35">
      <c r="O605" s="76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  <c r="AX605" s="74"/>
      <c r="AY605" s="74"/>
      <c r="AZ605" s="74"/>
      <c r="BA605" s="74"/>
      <c r="BB605" s="74"/>
      <c r="BC605" s="74"/>
      <c r="BD605" s="74"/>
      <c r="BE605" s="74"/>
      <c r="BF605" s="74"/>
      <c r="BG605" s="74"/>
      <c r="BH605" s="74"/>
      <c r="BI605" s="74"/>
      <c r="BJ605" s="74"/>
      <c r="BK605" s="74"/>
      <c r="BL605" s="74"/>
      <c r="BM605" s="74"/>
      <c r="BN605" s="74"/>
      <c r="BO605" s="74"/>
      <c r="BP605" s="74"/>
      <c r="BQ605" s="74"/>
      <c r="BR605" s="74"/>
      <c r="BS605" s="74"/>
      <c r="BT605" s="74"/>
      <c r="BU605" s="74"/>
      <c r="BV605" s="74"/>
      <c r="BW605" s="74"/>
      <c r="BX605" s="74"/>
      <c r="BY605" s="74"/>
      <c r="BZ605" s="74"/>
      <c r="CA605" s="74"/>
      <c r="CB605" s="74"/>
      <c r="CC605" s="74"/>
      <c r="CD605" s="74"/>
      <c r="CE605" s="74"/>
      <c r="CF605" s="74"/>
      <c r="CG605" s="74"/>
      <c r="CH605" s="74"/>
      <c r="CI605" s="74"/>
      <c r="CJ605" s="74"/>
      <c r="CK605" s="74"/>
      <c r="CL605" s="74"/>
      <c r="CM605" s="74"/>
      <c r="CN605" s="74"/>
      <c r="CO605" s="74"/>
      <c r="CP605" s="74"/>
      <c r="CQ605" s="74"/>
      <c r="CR605" s="74"/>
      <c r="CS605" s="74"/>
      <c r="CT605" s="74"/>
      <c r="CU605" s="74"/>
      <c r="CV605" s="74"/>
      <c r="CW605" s="74"/>
      <c r="CX605" s="74"/>
      <c r="CY605" s="74"/>
      <c r="CZ605" s="74"/>
      <c r="DA605" s="74"/>
      <c r="DB605" s="74"/>
      <c r="DC605" s="74"/>
    </row>
    <row r="606" spans="15:107" customFormat="1" x14ac:dyDescent="0.35">
      <c r="O606" s="76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/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74"/>
      <c r="BJ606" s="74"/>
      <c r="BK606" s="74"/>
      <c r="BL606" s="74"/>
      <c r="BM606" s="74"/>
      <c r="BN606" s="74"/>
      <c r="BO606" s="74"/>
      <c r="BP606" s="74"/>
      <c r="BQ606" s="74"/>
      <c r="BR606" s="74"/>
      <c r="BS606" s="74"/>
      <c r="BT606" s="74"/>
      <c r="BU606" s="74"/>
      <c r="BV606" s="74"/>
      <c r="BW606" s="74"/>
      <c r="BX606" s="74"/>
      <c r="BY606" s="74"/>
      <c r="BZ606" s="74"/>
      <c r="CA606" s="74"/>
      <c r="CB606" s="74"/>
      <c r="CC606" s="74"/>
      <c r="CD606" s="74"/>
      <c r="CE606" s="74"/>
      <c r="CF606" s="74"/>
      <c r="CG606" s="74"/>
      <c r="CH606" s="74"/>
      <c r="CI606" s="74"/>
      <c r="CJ606" s="74"/>
      <c r="CK606" s="74"/>
      <c r="CL606" s="74"/>
      <c r="CM606" s="74"/>
      <c r="CN606" s="74"/>
      <c r="CO606" s="74"/>
      <c r="CP606" s="74"/>
      <c r="CQ606" s="74"/>
      <c r="CR606" s="74"/>
      <c r="CS606" s="74"/>
      <c r="CT606" s="74"/>
      <c r="CU606" s="74"/>
      <c r="CV606" s="74"/>
      <c r="CW606" s="74"/>
      <c r="CX606" s="74"/>
      <c r="CY606" s="74"/>
      <c r="CZ606" s="74"/>
      <c r="DA606" s="74"/>
      <c r="DB606" s="74"/>
      <c r="DC606" s="74"/>
    </row>
    <row r="607" spans="15:107" customFormat="1" x14ac:dyDescent="0.35">
      <c r="O607" s="76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74"/>
      <c r="BJ607" s="74"/>
      <c r="BK607" s="74"/>
      <c r="BL607" s="74"/>
      <c r="BM607" s="74"/>
      <c r="BN607" s="74"/>
      <c r="BO607" s="74"/>
      <c r="BP607" s="74"/>
      <c r="BQ607" s="74"/>
      <c r="BR607" s="74"/>
      <c r="BS607" s="74"/>
      <c r="BT607" s="74"/>
      <c r="BU607" s="74"/>
      <c r="BV607" s="74"/>
      <c r="BW607" s="74"/>
      <c r="BX607" s="74"/>
      <c r="BY607" s="74"/>
      <c r="BZ607" s="74"/>
      <c r="CA607" s="74"/>
      <c r="CB607" s="74"/>
      <c r="CC607" s="74"/>
      <c r="CD607" s="74"/>
      <c r="CE607" s="74"/>
      <c r="CF607" s="74"/>
      <c r="CG607" s="74"/>
      <c r="CH607" s="74"/>
      <c r="CI607" s="74"/>
      <c r="CJ607" s="74"/>
      <c r="CK607" s="74"/>
      <c r="CL607" s="74"/>
      <c r="CM607" s="74"/>
      <c r="CN607" s="74"/>
      <c r="CO607" s="74"/>
      <c r="CP607" s="74"/>
      <c r="CQ607" s="74"/>
      <c r="CR607" s="74"/>
      <c r="CS607" s="74"/>
      <c r="CT607" s="74"/>
      <c r="CU607" s="74"/>
      <c r="CV607" s="74"/>
      <c r="CW607" s="74"/>
      <c r="CX607" s="74"/>
      <c r="CY607" s="74"/>
      <c r="CZ607" s="74"/>
      <c r="DA607" s="74"/>
      <c r="DB607" s="74"/>
      <c r="DC607" s="74"/>
    </row>
    <row r="608" spans="15:107" customFormat="1" x14ac:dyDescent="0.35">
      <c r="O608" s="76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  <c r="AS608" s="74"/>
      <c r="AT608" s="74"/>
      <c r="AU608" s="74"/>
      <c r="AV608" s="74"/>
      <c r="AW608" s="74"/>
      <c r="AX608" s="74"/>
      <c r="AY608" s="74"/>
      <c r="AZ608" s="74"/>
      <c r="BA608" s="74"/>
      <c r="BB608" s="74"/>
      <c r="BC608" s="74"/>
      <c r="BD608" s="74"/>
      <c r="BE608" s="74"/>
      <c r="BF608" s="74"/>
      <c r="BG608" s="74"/>
      <c r="BH608" s="74"/>
      <c r="BI608" s="74"/>
      <c r="BJ608" s="74"/>
      <c r="BK608" s="74"/>
      <c r="BL608" s="74"/>
      <c r="BM608" s="74"/>
      <c r="BN608" s="74"/>
      <c r="BO608" s="74"/>
      <c r="BP608" s="74"/>
      <c r="BQ608" s="74"/>
      <c r="BR608" s="74"/>
      <c r="BS608" s="74"/>
      <c r="BT608" s="74"/>
      <c r="BU608" s="74"/>
      <c r="BV608" s="74"/>
      <c r="BW608" s="74"/>
      <c r="BX608" s="74"/>
      <c r="BY608" s="74"/>
      <c r="BZ608" s="74"/>
      <c r="CA608" s="74"/>
      <c r="CB608" s="74"/>
      <c r="CC608" s="74"/>
      <c r="CD608" s="74"/>
      <c r="CE608" s="74"/>
      <c r="CF608" s="74"/>
      <c r="CG608" s="74"/>
      <c r="CH608" s="74"/>
      <c r="CI608" s="74"/>
      <c r="CJ608" s="74"/>
      <c r="CK608" s="74"/>
      <c r="CL608" s="74"/>
      <c r="CM608" s="74"/>
      <c r="CN608" s="74"/>
      <c r="CO608" s="74"/>
      <c r="CP608" s="74"/>
      <c r="CQ608" s="74"/>
      <c r="CR608" s="74"/>
      <c r="CS608" s="74"/>
      <c r="CT608" s="74"/>
      <c r="CU608" s="74"/>
      <c r="CV608" s="74"/>
      <c r="CW608" s="74"/>
      <c r="CX608" s="74"/>
      <c r="CY608" s="74"/>
      <c r="CZ608" s="74"/>
      <c r="DA608" s="74"/>
      <c r="DB608" s="74"/>
      <c r="DC608" s="74"/>
    </row>
    <row r="609" spans="15:107" customFormat="1" x14ac:dyDescent="0.35">
      <c r="O609" s="76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  <c r="AS609" s="74"/>
      <c r="AT609" s="74"/>
      <c r="AU609" s="74"/>
      <c r="AV609" s="74"/>
      <c r="AW609" s="74"/>
      <c r="AX609" s="74"/>
      <c r="AY609" s="74"/>
      <c r="AZ609" s="74"/>
      <c r="BA609" s="74"/>
      <c r="BB609" s="74"/>
      <c r="BC609" s="74"/>
      <c r="BD609" s="74"/>
      <c r="BE609" s="74"/>
      <c r="BF609" s="74"/>
      <c r="BG609" s="74"/>
      <c r="BH609" s="74"/>
      <c r="BI609" s="74"/>
      <c r="BJ609" s="74"/>
      <c r="BK609" s="74"/>
      <c r="BL609" s="74"/>
      <c r="BM609" s="74"/>
      <c r="BN609" s="74"/>
      <c r="BO609" s="74"/>
      <c r="BP609" s="74"/>
      <c r="BQ609" s="74"/>
      <c r="BR609" s="74"/>
      <c r="BS609" s="74"/>
      <c r="BT609" s="74"/>
      <c r="BU609" s="74"/>
      <c r="BV609" s="74"/>
      <c r="BW609" s="74"/>
      <c r="BX609" s="74"/>
      <c r="BY609" s="74"/>
      <c r="BZ609" s="74"/>
      <c r="CA609" s="74"/>
      <c r="CB609" s="74"/>
      <c r="CC609" s="74"/>
      <c r="CD609" s="74"/>
      <c r="CE609" s="74"/>
      <c r="CF609" s="74"/>
      <c r="CG609" s="74"/>
      <c r="CH609" s="74"/>
      <c r="CI609" s="74"/>
      <c r="CJ609" s="74"/>
      <c r="CK609" s="74"/>
      <c r="CL609" s="74"/>
      <c r="CM609" s="74"/>
      <c r="CN609" s="74"/>
      <c r="CO609" s="74"/>
      <c r="CP609" s="74"/>
      <c r="CQ609" s="74"/>
      <c r="CR609" s="74"/>
      <c r="CS609" s="74"/>
      <c r="CT609" s="74"/>
      <c r="CU609" s="74"/>
      <c r="CV609" s="74"/>
      <c r="CW609" s="74"/>
      <c r="CX609" s="74"/>
      <c r="CY609" s="74"/>
      <c r="CZ609" s="74"/>
      <c r="DA609" s="74"/>
      <c r="DB609" s="74"/>
      <c r="DC609" s="74"/>
    </row>
    <row r="610" spans="15:107" customFormat="1" x14ac:dyDescent="0.35">
      <c r="O610" s="76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74"/>
      <c r="BN610" s="74"/>
      <c r="BO610" s="74"/>
      <c r="BP610" s="74"/>
      <c r="BQ610" s="74"/>
      <c r="BR610" s="74"/>
      <c r="BS610" s="74"/>
      <c r="BT610" s="74"/>
      <c r="BU610" s="74"/>
      <c r="BV610" s="74"/>
      <c r="BW610" s="74"/>
      <c r="BX610" s="74"/>
      <c r="BY610" s="74"/>
      <c r="BZ610" s="74"/>
      <c r="CA610" s="74"/>
      <c r="CB610" s="74"/>
      <c r="CC610" s="74"/>
      <c r="CD610" s="74"/>
      <c r="CE610" s="74"/>
      <c r="CF610" s="74"/>
      <c r="CG610" s="74"/>
      <c r="CH610" s="74"/>
      <c r="CI610" s="74"/>
      <c r="CJ610" s="74"/>
      <c r="CK610" s="74"/>
      <c r="CL610" s="74"/>
      <c r="CM610" s="74"/>
      <c r="CN610" s="74"/>
      <c r="CO610" s="74"/>
      <c r="CP610" s="74"/>
      <c r="CQ610" s="74"/>
      <c r="CR610" s="74"/>
      <c r="CS610" s="74"/>
      <c r="CT610" s="74"/>
      <c r="CU610" s="74"/>
      <c r="CV610" s="74"/>
      <c r="CW610" s="74"/>
      <c r="CX610" s="74"/>
      <c r="CY610" s="74"/>
      <c r="CZ610" s="74"/>
      <c r="DA610" s="74"/>
      <c r="DB610" s="74"/>
      <c r="DC610" s="74"/>
    </row>
    <row r="611" spans="15:107" customFormat="1" x14ac:dyDescent="0.35">
      <c r="O611" s="76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74"/>
      <c r="BN611" s="74"/>
      <c r="BO611" s="74"/>
      <c r="BP611" s="74"/>
      <c r="BQ611" s="74"/>
      <c r="BR611" s="74"/>
      <c r="BS611" s="74"/>
      <c r="BT611" s="74"/>
      <c r="BU611" s="74"/>
      <c r="BV611" s="74"/>
      <c r="BW611" s="74"/>
      <c r="BX611" s="74"/>
      <c r="BY611" s="74"/>
      <c r="BZ611" s="74"/>
      <c r="CA611" s="74"/>
      <c r="CB611" s="74"/>
      <c r="CC611" s="74"/>
      <c r="CD611" s="74"/>
      <c r="CE611" s="74"/>
      <c r="CF611" s="74"/>
      <c r="CG611" s="74"/>
      <c r="CH611" s="74"/>
      <c r="CI611" s="74"/>
      <c r="CJ611" s="74"/>
      <c r="CK611" s="74"/>
      <c r="CL611" s="74"/>
      <c r="CM611" s="74"/>
      <c r="CN611" s="74"/>
      <c r="CO611" s="74"/>
      <c r="CP611" s="74"/>
      <c r="CQ611" s="74"/>
      <c r="CR611" s="74"/>
      <c r="CS611" s="74"/>
      <c r="CT611" s="74"/>
      <c r="CU611" s="74"/>
      <c r="CV611" s="74"/>
      <c r="CW611" s="74"/>
      <c r="CX611" s="74"/>
      <c r="CY611" s="74"/>
      <c r="CZ611" s="74"/>
      <c r="DA611" s="74"/>
      <c r="DB611" s="74"/>
      <c r="DC611" s="74"/>
    </row>
    <row r="612" spans="15:107" customFormat="1" x14ac:dyDescent="0.35">
      <c r="O612" s="76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74"/>
      <c r="BN612" s="74"/>
      <c r="BO612" s="74"/>
      <c r="BP612" s="74"/>
      <c r="BQ612" s="74"/>
      <c r="BR612" s="74"/>
      <c r="BS612" s="74"/>
      <c r="BT612" s="74"/>
      <c r="BU612" s="74"/>
      <c r="BV612" s="74"/>
      <c r="BW612" s="74"/>
      <c r="BX612" s="74"/>
      <c r="BY612" s="74"/>
      <c r="BZ612" s="74"/>
      <c r="CA612" s="74"/>
      <c r="CB612" s="74"/>
      <c r="CC612" s="74"/>
      <c r="CD612" s="74"/>
      <c r="CE612" s="74"/>
      <c r="CF612" s="74"/>
      <c r="CG612" s="74"/>
      <c r="CH612" s="74"/>
      <c r="CI612" s="74"/>
      <c r="CJ612" s="74"/>
      <c r="CK612" s="74"/>
      <c r="CL612" s="74"/>
      <c r="CM612" s="74"/>
      <c r="CN612" s="74"/>
      <c r="CO612" s="74"/>
      <c r="CP612" s="74"/>
      <c r="CQ612" s="74"/>
      <c r="CR612" s="74"/>
      <c r="CS612" s="74"/>
      <c r="CT612" s="74"/>
      <c r="CU612" s="74"/>
      <c r="CV612" s="74"/>
      <c r="CW612" s="74"/>
      <c r="CX612" s="74"/>
      <c r="CY612" s="74"/>
      <c r="CZ612" s="74"/>
      <c r="DA612" s="74"/>
      <c r="DB612" s="74"/>
      <c r="DC612" s="74"/>
    </row>
    <row r="613" spans="15:107" customFormat="1" x14ac:dyDescent="0.35">
      <c r="O613" s="76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74"/>
      <c r="BN613" s="74"/>
      <c r="BO613" s="74"/>
      <c r="BP613" s="74"/>
      <c r="BQ613" s="74"/>
      <c r="BR613" s="74"/>
      <c r="BS613" s="74"/>
      <c r="BT613" s="74"/>
      <c r="BU613" s="74"/>
      <c r="BV613" s="74"/>
      <c r="BW613" s="74"/>
      <c r="BX613" s="74"/>
      <c r="BY613" s="74"/>
      <c r="BZ613" s="74"/>
      <c r="CA613" s="74"/>
      <c r="CB613" s="74"/>
      <c r="CC613" s="74"/>
      <c r="CD613" s="74"/>
      <c r="CE613" s="74"/>
      <c r="CF613" s="74"/>
      <c r="CG613" s="74"/>
      <c r="CH613" s="74"/>
      <c r="CI613" s="74"/>
      <c r="CJ613" s="74"/>
      <c r="CK613" s="74"/>
      <c r="CL613" s="74"/>
      <c r="CM613" s="74"/>
      <c r="CN613" s="74"/>
      <c r="CO613" s="74"/>
      <c r="CP613" s="74"/>
      <c r="CQ613" s="74"/>
      <c r="CR613" s="74"/>
      <c r="CS613" s="74"/>
      <c r="CT613" s="74"/>
      <c r="CU613" s="74"/>
      <c r="CV613" s="74"/>
      <c r="CW613" s="74"/>
      <c r="CX613" s="74"/>
      <c r="CY613" s="74"/>
      <c r="CZ613" s="74"/>
      <c r="DA613" s="74"/>
      <c r="DB613" s="74"/>
      <c r="DC613" s="74"/>
    </row>
    <row r="614" spans="15:107" customFormat="1" x14ac:dyDescent="0.35">
      <c r="O614" s="76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74"/>
      <c r="BN614" s="74"/>
      <c r="BO614" s="74"/>
      <c r="BP614" s="74"/>
      <c r="BQ614" s="74"/>
      <c r="BR614" s="74"/>
      <c r="BS614" s="74"/>
      <c r="BT614" s="74"/>
      <c r="BU614" s="74"/>
      <c r="BV614" s="74"/>
      <c r="BW614" s="74"/>
      <c r="BX614" s="74"/>
      <c r="BY614" s="74"/>
      <c r="BZ614" s="74"/>
      <c r="CA614" s="74"/>
      <c r="CB614" s="74"/>
      <c r="CC614" s="74"/>
      <c r="CD614" s="74"/>
      <c r="CE614" s="74"/>
      <c r="CF614" s="74"/>
      <c r="CG614" s="74"/>
      <c r="CH614" s="74"/>
      <c r="CI614" s="74"/>
      <c r="CJ614" s="74"/>
      <c r="CK614" s="74"/>
      <c r="CL614" s="74"/>
      <c r="CM614" s="74"/>
      <c r="CN614" s="74"/>
      <c r="CO614" s="74"/>
      <c r="CP614" s="74"/>
      <c r="CQ614" s="74"/>
      <c r="CR614" s="74"/>
      <c r="CS614" s="74"/>
      <c r="CT614" s="74"/>
      <c r="CU614" s="74"/>
      <c r="CV614" s="74"/>
      <c r="CW614" s="74"/>
      <c r="CX614" s="74"/>
      <c r="CY614" s="74"/>
      <c r="CZ614" s="74"/>
      <c r="DA614" s="74"/>
      <c r="DB614" s="74"/>
      <c r="DC614" s="74"/>
    </row>
    <row r="615" spans="15:107" customFormat="1" x14ac:dyDescent="0.35">
      <c r="O615" s="76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  <c r="BN615" s="74"/>
      <c r="BO615" s="74"/>
      <c r="BP615" s="74"/>
      <c r="BQ615" s="74"/>
      <c r="BR615" s="74"/>
      <c r="BS615" s="74"/>
      <c r="BT615" s="74"/>
      <c r="BU615" s="74"/>
      <c r="BV615" s="74"/>
      <c r="BW615" s="74"/>
      <c r="BX615" s="74"/>
      <c r="BY615" s="74"/>
      <c r="BZ615" s="74"/>
      <c r="CA615" s="74"/>
      <c r="CB615" s="74"/>
      <c r="CC615" s="74"/>
      <c r="CD615" s="74"/>
      <c r="CE615" s="74"/>
      <c r="CF615" s="74"/>
      <c r="CG615" s="74"/>
      <c r="CH615" s="74"/>
      <c r="CI615" s="74"/>
      <c r="CJ615" s="74"/>
      <c r="CK615" s="74"/>
      <c r="CL615" s="74"/>
      <c r="CM615" s="74"/>
      <c r="CN615" s="74"/>
      <c r="CO615" s="74"/>
      <c r="CP615" s="74"/>
      <c r="CQ615" s="74"/>
      <c r="CR615" s="74"/>
      <c r="CS615" s="74"/>
      <c r="CT615" s="74"/>
      <c r="CU615" s="74"/>
      <c r="CV615" s="74"/>
      <c r="CW615" s="74"/>
      <c r="CX615" s="74"/>
      <c r="CY615" s="74"/>
      <c r="CZ615" s="74"/>
      <c r="DA615" s="74"/>
      <c r="DB615" s="74"/>
      <c r="DC615" s="74"/>
    </row>
    <row r="616" spans="15:107" customFormat="1" x14ac:dyDescent="0.35">
      <c r="O616" s="76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74"/>
      <c r="BN616" s="74"/>
      <c r="BO616" s="74"/>
      <c r="BP616" s="74"/>
      <c r="BQ616" s="74"/>
      <c r="BR616" s="74"/>
      <c r="BS616" s="74"/>
      <c r="BT616" s="74"/>
      <c r="BU616" s="74"/>
      <c r="BV616" s="74"/>
      <c r="BW616" s="74"/>
      <c r="BX616" s="74"/>
      <c r="BY616" s="74"/>
      <c r="BZ616" s="74"/>
      <c r="CA616" s="74"/>
      <c r="CB616" s="74"/>
      <c r="CC616" s="74"/>
      <c r="CD616" s="74"/>
      <c r="CE616" s="74"/>
      <c r="CF616" s="74"/>
      <c r="CG616" s="74"/>
      <c r="CH616" s="74"/>
      <c r="CI616" s="74"/>
      <c r="CJ616" s="74"/>
      <c r="CK616" s="74"/>
      <c r="CL616" s="74"/>
      <c r="CM616" s="74"/>
      <c r="CN616" s="74"/>
      <c r="CO616" s="74"/>
      <c r="CP616" s="74"/>
      <c r="CQ616" s="74"/>
      <c r="CR616" s="74"/>
      <c r="CS616" s="74"/>
      <c r="CT616" s="74"/>
      <c r="CU616" s="74"/>
      <c r="CV616" s="74"/>
      <c r="CW616" s="74"/>
      <c r="CX616" s="74"/>
      <c r="CY616" s="74"/>
      <c r="CZ616" s="74"/>
      <c r="DA616" s="74"/>
      <c r="DB616" s="74"/>
      <c r="DC616" s="74"/>
    </row>
    <row r="617" spans="15:107" customFormat="1" x14ac:dyDescent="0.35">
      <c r="O617" s="76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74"/>
      <c r="BN617" s="74"/>
      <c r="BO617" s="74"/>
      <c r="BP617" s="74"/>
      <c r="BQ617" s="74"/>
      <c r="BR617" s="74"/>
      <c r="BS617" s="74"/>
      <c r="BT617" s="74"/>
      <c r="BU617" s="74"/>
      <c r="BV617" s="74"/>
      <c r="BW617" s="74"/>
      <c r="BX617" s="74"/>
      <c r="BY617" s="74"/>
      <c r="BZ617" s="74"/>
      <c r="CA617" s="74"/>
      <c r="CB617" s="74"/>
      <c r="CC617" s="74"/>
      <c r="CD617" s="74"/>
      <c r="CE617" s="74"/>
      <c r="CF617" s="74"/>
      <c r="CG617" s="74"/>
      <c r="CH617" s="74"/>
      <c r="CI617" s="74"/>
      <c r="CJ617" s="74"/>
      <c r="CK617" s="74"/>
      <c r="CL617" s="74"/>
      <c r="CM617" s="74"/>
      <c r="CN617" s="74"/>
      <c r="CO617" s="74"/>
      <c r="CP617" s="74"/>
      <c r="CQ617" s="74"/>
      <c r="CR617" s="74"/>
      <c r="CS617" s="74"/>
      <c r="CT617" s="74"/>
      <c r="CU617" s="74"/>
      <c r="CV617" s="74"/>
      <c r="CW617" s="74"/>
      <c r="CX617" s="74"/>
      <c r="CY617" s="74"/>
      <c r="CZ617" s="74"/>
      <c r="DA617" s="74"/>
      <c r="DB617" s="74"/>
      <c r="DC617" s="74"/>
    </row>
    <row r="618" spans="15:107" customFormat="1" x14ac:dyDescent="0.35">
      <c r="O618" s="76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74"/>
      <c r="BN618" s="74"/>
      <c r="BO618" s="74"/>
      <c r="BP618" s="74"/>
      <c r="BQ618" s="74"/>
      <c r="BR618" s="74"/>
      <c r="BS618" s="74"/>
      <c r="BT618" s="74"/>
      <c r="BU618" s="74"/>
      <c r="BV618" s="74"/>
      <c r="BW618" s="74"/>
      <c r="BX618" s="74"/>
      <c r="BY618" s="74"/>
      <c r="BZ618" s="74"/>
      <c r="CA618" s="74"/>
      <c r="CB618" s="74"/>
      <c r="CC618" s="74"/>
      <c r="CD618" s="74"/>
      <c r="CE618" s="74"/>
      <c r="CF618" s="74"/>
      <c r="CG618" s="74"/>
      <c r="CH618" s="74"/>
      <c r="CI618" s="74"/>
      <c r="CJ618" s="74"/>
      <c r="CK618" s="74"/>
      <c r="CL618" s="74"/>
      <c r="CM618" s="74"/>
      <c r="CN618" s="74"/>
      <c r="CO618" s="74"/>
      <c r="CP618" s="74"/>
      <c r="CQ618" s="74"/>
      <c r="CR618" s="74"/>
      <c r="CS618" s="74"/>
      <c r="CT618" s="74"/>
      <c r="CU618" s="74"/>
      <c r="CV618" s="74"/>
      <c r="CW618" s="74"/>
      <c r="CX618" s="74"/>
      <c r="CY618" s="74"/>
      <c r="CZ618" s="74"/>
      <c r="DA618" s="74"/>
      <c r="DB618" s="74"/>
      <c r="DC618" s="74"/>
    </row>
    <row r="619" spans="15:107" customFormat="1" x14ac:dyDescent="0.35">
      <c r="O619" s="76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74"/>
      <c r="BN619" s="74"/>
      <c r="BO619" s="74"/>
      <c r="BP619" s="74"/>
      <c r="BQ619" s="74"/>
      <c r="BR619" s="74"/>
      <c r="BS619" s="74"/>
      <c r="BT619" s="74"/>
      <c r="BU619" s="74"/>
      <c r="BV619" s="74"/>
      <c r="BW619" s="74"/>
      <c r="BX619" s="74"/>
      <c r="BY619" s="74"/>
      <c r="BZ619" s="74"/>
      <c r="CA619" s="74"/>
      <c r="CB619" s="74"/>
      <c r="CC619" s="74"/>
      <c r="CD619" s="74"/>
      <c r="CE619" s="74"/>
      <c r="CF619" s="74"/>
      <c r="CG619" s="74"/>
      <c r="CH619" s="74"/>
      <c r="CI619" s="74"/>
      <c r="CJ619" s="74"/>
      <c r="CK619" s="74"/>
      <c r="CL619" s="74"/>
      <c r="CM619" s="74"/>
      <c r="CN619" s="74"/>
      <c r="CO619" s="74"/>
      <c r="CP619" s="74"/>
      <c r="CQ619" s="74"/>
      <c r="CR619" s="74"/>
      <c r="CS619" s="74"/>
      <c r="CT619" s="74"/>
      <c r="CU619" s="74"/>
      <c r="CV619" s="74"/>
      <c r="CW619" s="74"/>
      <c r="CX619" s="74"/>
      <c r="CY619" s="74"/>
      <c r="CZ619" s="74"/>
      <c r="DA619" s="74"/>
      <c r="DB619" s="74"/>
      <c r="DC619" s="74"/>
    </row>
    <row r="620" spans="15:107" customFormat="1" x14ac:dyDescent="0.35">
      <c r="O620" s="76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  <c r="AX620" s="74"/>
      <c r="AY620" s="74"/>
      <c r="AZ620" s="74"/>
      <c r="BA620" s="74"/>
      <c r="BB620" s="74"/>
      <c r="BC620" s="74"/>
      <c r="BD620" s="74"/>
      <c r="BE620" s="74"/>
      <c r="BF620" s="74"/>
      <c r="BG620" s="74"/>
      <c r="BH620" s="74"/>
      <c r="BI620" s="74"/>
      <c r="BJ620" s="74"/>
      <c r="BK620" s="74"/>
      <c r="BL620" s="74"/>
      <c r="BM620" s="74"/>
      <c r="BN620" s="74"/>
      <c r="BO620" s="74"/>
      <c r="BP620" s="74"/>
      <c r="BQ620" s="74"/>
      <c r="BR620" s="74"/>
      <c r="BS620" s="74"/>
      <c r="BT620" s="74"/>
      <c r="BU620" s="74"/>
      <c r="BV620" s="74"/>
      <c r="BW620" s="74"/>
      <c r="BX620" s="74"/>
      <c r="BY620" s="74"/>
      <c r="BZ620" s="74"/>
      <c r="CA620" s="74"/>
      <c r="CB620" s="74"/>
      <c r="CC620" s="74"/>
      <c r="CD620" s="74"/>
      <c r="CE620" s="74"/>
      <c r="CF620" s="74"/>
      <c r="CG620" s="74"/>
      <c r="CH620" s="74"/>
      <c r="CI620" s="74"/>
      <c r="CJ620" s="74"/>
      <c r="CK620" s="74"/>
      <c r="CL620" s="74"/>
      <c r="CM620" s="74"/>
      <c r="CN620" s="74"/>
      <c r="CO620" s="74"/>
      <c r="CP620" s="74"/>
      <c r="CQ620" s="74"/>
      <c r="CR620" s="74"/>
      <c r="CS620" s="74"/>
      <c r="CT620" s="74"/>
      <c r="CU620" s="74"/>
      <c r="CV620" s="74"/>
      <c r="CW620" s="74"/>
      <c r="CX620" s="74"/>
      <c r="CY620" s="74"/>
      <c r="CZ620" s="74"/>
      <c r="DA620" s="74"/>
      <c r="DB620" s="74"/>
      <c r="DC620" s="74"/>
    </row>
    <row r="621" spans="15:107" customFormat="1" x14ac:dyDescent="0.35">
      <c r="O621" s="76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  <c r="AS621" s="74"/>
      <c r="AT621" s="74"/>
      <c r="AU621" s="74"/>
      <c r="AV621" s="74"/>
      <c r="AW621" s="74"/>
      <c r="AX621" s="74"/>
      <c r="AY621" s="74"/>
      <c r="AZ621" s="74"/>
      <c r="BA621" s="74"/>
      <c r="BB621" s="74"/>
      <c r="BC621" s="74"/>
      <c r="BD621" s="74"/>
      <c r="BE621" s="74"/>
      <c r="BF621" s="74"/>
      <c r="BG621" s="74"/>
      <c r="BH621" s="74"/>
      <c r="BI621" s="74"/>
      <c r="BJ621" s="74"/>
      <c r="BK621" s="74"/>
      <c r="BL621" s="74"/>
      <c r="BM621" s="74"/>
      <c r="BN621" s="74"/>
      <c r="BO621" s="74"/>
      <c r="BP621" s="74"/>
      <c r="BQ621" s="74"/>
      <c r="BR621" s="74"/>
      <c r="BS621" s="74"/>
      <c r="BT621" s="74"/>
      <c r="BU621" s="74"/>
      <c r="BV621" s="74"/>
      <c r="BW621" s="74"/>
      <c r="BX621" s="74"/>
      <c r="BY621" s="74"/>
      <c r="BZ621" s="74"/>
      <c r="CA621" s="74"/>
      <c r="CB621" s="74"/>
      <c r="CC621" s="74"/>
      <c r="CD621" s="74"/>
      <c r="CE621" s="74"/>
      <c r="CF621" s="74"/>
      <c r="CG621" s="74"/>
      <c r="CH621" s="74"/>
      <c r="CI621" s="74"/>
      <c r="CJ621" s="74"/>
      <c r="CK621" s="74"/>
      <c r="CL621" s="74"/>
      <c r="CM621" s="74"/>
      <c r="CN621" s="74"/>
      <c r="CO621" s="74"/>
      <c r="CP621" s="74"/>
      <c r="CQ621" s="74"/>
      <c r="CR621" s="74"/>
      <c r="CS621" s="74"/>
      <c r="CT621" s="74"/>
      <c r="CU621" s="74"/>
      <c r="CV621" s="74"/>
      <c r="CW621" s="74"/>
      <c r="CX621" s="74"/>
      <c r="CY621" s="74"/>
      <c r="CZ621" s="74"/>
      <c r="DA621" s="74"/>
      <c r="DB621" s="74"/>
      <c r="DC621" s="74"/>
    </row>
    <row r="622" spans="15:107" customFormat="1" x14ac:dyDescent="0.35">
      <c r="O622" s="76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74"/>
      <c r="AZ622" s="74"/>
      <c r="BA622" s="74"/>
      <c r="BB622" s="74"/>
      <c r="BC622" s="74"/>
      <c r="BD622" s="74"/>
      <c r="BE622" s="74"/>
      <c r="BF622" s="74"/>
      <c r="BG622" s="74"/>
      <c r="BH622" s="74"/>
      <c r="BI622" s="74"/>
      <c r="BJ622" s="74"/>
      <c r="BK622" s="74"/>
      <c r="BL622" s="74"/>
      <c r="BM622" s="74"/>
      <c r="BN622" s="74"/>
      <c r="BO622" s="74"/>
      <c r="BP622" s="74"/>
      <c r="BQ622" s="74"/>
      <c r="BR622" s="74"/>
      <c r="BS622" s="74"/>
      <c r="BT622" s="74"/>
      <c r="BU622" s="74"/>
      <c r="BV622" s="74"/>
      <c r="BW622" s="74"/>
      <c r="BX622" s="74"/>
      <c r="BY622" s="74"/>
      <c r="BZ622" s="74"/>
      <c r="CA622" s="74"/>
      <c r="CB622" s="74"/>
      <c r="CC622" s="74"/>
      <c r="CD622" s="74"/>
      <c r="CE622" s="74"/>
      <c r="CF622" s="74"/>
      <c r="CG622" s="74"/>
      <c r="CH622" s="74"/>
      <c r="CI622" s="74"/>
      <c r="CJ622" s="74"/>
      <c r="CK622" s="74"/>
      <c r="CL622" s="74"/>
      <c r="CM622" s="74"/>
      <c r="CN622" s="74"/>
      <c r="CO622" s="74"/>
      <c r="CP622" s="74"/>
      <c r="CQ622" s="74"/>
      <c r="CR622" s="74"/>
      <c r="CS622" s="74"/>
      <c r="CT622" s="74"/>
      <c r="CU622" s="74"/>
      <c r="CV622" s="74"/>
      <c r="CW622" s="74"/>
      <c r="CX622" s="74"/>
      <c r="CY622" s="74"/>
      <c r="CZ622" s="74"/>
      <c r="DA622" s="74"/>
      <c r="DB622" s="74"/>
      <c r="DC622" s="74"/>
    </row>
    <row r="623" spans="15:107" customFormat="1" x14ac:dyDescent="0.35">
      <c r="O623" s="76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  <c r="AS623" s="74"/>
      <c r="AT623" s="74"/>
      <c r="AU623" s="74"/>
      <c r="AV623" s="74"/>
      <c r="AW623" s="74"/>
      <c r="AX623" s="74"/>
      <c r="AY623" s="74"/>
      <c r="AZ623" s="74"/>
      <c r="BA623" s="74"/>
      <c r="BB623" s="74"/>
      <c r="BC623" s="74"/>
      <c r="BD623" s="74"/>
      <c r="BE623" s="74"/>
      <c r="BF623" s="74"/>
      <c r="BG623" s="74"/>
      <c r="BH623" s="74"/>
      <c r="BI623" s="74"/>
      <c r="BJ623" s="74"/>
      <c r="BK623" s="74"/>
      <c r="BL623" s="74"/>
      <c r="BM623" s="74"/>
      <c r="BN623" s="74"/>
      <c r="BO623" s="74"/>
      <c r="BP623" s="74"/>
      <c r="BQ623" s="74"/>
      <c r="BR623" s="74"/>
      <c r="BS623" s="74"/>
      <c r="BT623" s="74"/>
      <c r="BU623" s="74"/>
      <c r="BV623" s="74"/>
      <c r="BW623" s="74"/>
      <c r="BX623" s="74"/>
      <c r="BY623" s="74"/>
      <c r="BZ623" s="74"/>
      <c r="CA623" s="74"/>
      <c r="CB623" s="74"/>
      <c r="CC623" s="74"/>
      <c r="CD623" s="74"/>
      <c r="CE623" s="74"/>
      <c r="CF623" s="74"/>
      <c r="CG623" s="74"/>
      <c r="CH623" s="74"/>
      <c r="CI623" s="74"/>
      <c r="CJ623" s="74"/>
      <c r="CK623" s="74"/>
      <c r="CL623" s="74"/>
      <c r="CM623" s="74"/>
      <c r="CN623" s="74"/>
      <c r="CO623" s="74"/>
      <c r="CP623" s="74"/>
      <c r="CQ623" s="74"/>
      <c r="CR623" s="74"/>
      <c r="CS623" s="74"/>
      <c r="CT623" s="74"/>
      <c r="CU623" s="74"/>
      <c r="CV623" s="74"/>
      <c r="CW623" s="74"/>
      <c r="CX623" s="74"/>
      <c r="CY623" s="74"/>
      <c r="CZ623" s="74"/>
      <c r="DA623" s="74"/>
      <c r="DB623" s="74"/>
      <c r="DC623" s="74"/>
    </row>
    <row r="624" spans="15:107" customFormat="1" x14ac:dyDescent="0.35">
      <c r="O624" s="76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  <c r="AX624" s="74"/>
      <c r="AY624" s="74"/>
      <c r="AZ624" s="74"/>
      <c r="BA624" s="74"/>
      <c r="BB624" s="74"/>
      <c r="BC624" s="74"/>
      <c r="BD624" s="74"/>
      <c r="BE624" s="74"/>
      <c r="BF624" s="74"/>
      <c r="BG624" s="74"/>
      <c r="BH624" s="74"/>
      <c r="BI624" s="74"/>
      <c r="BJ624" s="74"/>
      <c r="BK624" s="74"/>
      <c r="BL624" s="74"/>
      <c r="BM624" s="74"/>
      <c r="BN624" s="74"/>
      <c r="BO624" s="74"/>
      <c r="BP624" s="74"/>
      <c r="BQ624" s="74"/>
      <c r="BR624" s="74"/>
      <c r="BS624" s="74"/>
      <c r="BT624" s="74"/>
      <c r="BU624" s="74"/>
      <c r="BV624" s="74"/>
      <c r="BW624" s="74"/>
      <c r="BX624" s="74"/>
      <c r="BY624" s="74"/>
      <c r="BZ624" s="74"/>
      <c r="CA624" s="74"/>
      <c r="CB624" s="74"/>
      <c r="CC624" s="74"/>
      <c r="CD624" s="74"/>
      <c r="CE624" s="74"/>
      <c r="CF624" s="74"/>
      <c r="CG624" s="74"/>
      <c r="CH624" s="74"/>
      <c r="CI624" s="74"/>
      <c r="CJ624" s="74"/>
      <c r="CK624" s="74"/>
      <c r="CL624" s="74"/>
      <c r="CM624" s="74"/>
      <c r="CN624" s="74"/>
      <c r="CO624" s="74"/>
      <c r="CP624" s="74"/>
      <c r="CQ624" s="74"/>
      <c r="CR624" s="74"/>
      <c r="CS624" s="74"/>
      <c r="CT624" s="74"/>
      <c r="CU624" s="74"/>
      <c r="CV624" s="74"/>
      <c r="CW624" s="74"/>
      <c r="CX624" s="74"/>
      <c r="CY624" s="74"/>
      <c r="CZ624" s="74"/>
      <c r="DA624" s="74"/>
      <c r="DB624" s="74"/>
      <c r="DC624" s="74"/>
    </row>
    <row r="625" spans="15:107" customFormat="1" x14ac:dyDescent="0.35">
      <c r="O625" s="76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  <c r="AX625" s="74"/>
      <c r="AY625" s="74"/>
      <c r="AZ625" s="74"/>
      <c r="BA625" s="74"/>
      <c r="BB625" s="74"/>
      <c r="BC625" s="74"/>
      <c r="BD625" s="74"/>
      <c r="BE625" s="74"/>
      <c r="BF625" s="74"/>
      <c r="BG625" s="74"/>
      <c r="BH625" s="74"/>
      <c r="BI625" s="74"/>
      <c r="BJ625" s="74"/>
      <c r="BK625" s="74"/>
      <c r="BL625" s="74"/>
      <c r="BM625" s="74"/>
      <c r="BN625" s="74"/>
      <c r="BO625" s="74"/>
      <c r="BP625" s="74"/>
      <c r="BQ625" s="74"/>
      <c r="BR625" s="74"/>
      <c r="BS625" s="74"/>
      <c r="BT625" s="74"/>
      <c r="BU625" s="74"/>
      <c r="BV625" s="74"/>
      <c r="BW625" s="74"/>
      <c r="BX625" s="74"/>
      <c r="BY625" s="74"/>
      <c r="BZ625" s="74"/>
      <c r="CA625" s="74"/>
      <c r="CB625" s="74"/>
      <c r="CC625" s="74"/>
      <c r="CD625" s="74"/>
      <c r="CE625" s="74"/>
      <c r="CF625" s="74"/>
      <c r="CG625" s="74"/>
      <c r="CH625" s="74"/>
      <c r="CI625" s="74"/>
      <c r="CJ625" s="74"/>
      <c r="CK625" s="74"/>
      <c r="CL625" s="74"/>
      <c r="CM625" s="74"/>
      <c r="CN625" s="74"/>
      <c r="CO625" s="74"/>
      <c r="CP625" s="74"/>
      <c r="CQ625" s="74"/>
      <c r="CR625" s="74"/>
      <c r="CS625" s="74"/>
      <c r="CT625" s="74"/>
      <c r="CU625" s="74"/>
      <c r="CV625" s="74"/>
      <c r="CW625" s="74"/>
      <c r="CX625" s="74"/>
      <c r="CY625" s="74"/>
      <c r="CZ625" s="74"/>
      <c r="DA625" s="74"/>
      <c r="DB625" s="74"/>
      <c r="DC625" s="74"/>
    </row>
    <row r="626" spans="15:107" customFormat="1" x14ac:dyDescent="0.35">
      <c r="O626" s="76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74"/>
      <c r="AT626" s="74"/>
      <c r="AU626" s="74"/>
      <c r="AV626" s="74"/>
      <c r="AW626" s="74"/>
      <c r="AX626" s="74"/>
      <c r="AY626" s="74"/>
      <c r="AZ626" s="74"/>
      <c r="BA626" s="74"/>
      <c r="BB626" s="74"/>
      <c r="BC626" s="74"/>
      <c r="BD626" s="74"/>
      <c r="BE626" s="74"/>
      <c r="BF626" s="74"/>
      <c r="BG626" s="74"/>
      <c r="BH626" s="74"/>
      <c r="BI626" s="74"/>
      <c r="BJ626" s="74"/>
      <c r="BK626" s="74"/>
      <c r="BL626" s="74"/>
      <c r="BM626" s="74"/>
      <c r="BN626" s="74"/>
      <c r="BO626" s="74"/>
      <c r="BP626" s="74"/>
      <c r="BQ626" s="74"/>
      <c r="BR626" s="74"/>
      <c r="BS626" s="74"/>
      <c r="BT626" s="74"/>
      <c r="BU626" s="74"/>
      <c r="BV626" s="74"/>
      <c r="BW626" s="74"/>
      <c r="BX626" s="74"/>
      <c r="BY626" s="74"/>
      <c r="BZ626" s="74"/>
      <c r="CA626" s="74"/>
      <c r="CB626" s="74"/>
      <c r="CC626" s="74"/>
      <c r="CD626" s="74"/>
      <c r="CE626" s="74"/>
      <c r="CF626" s="74"/>
      <c r="CG626" s="74"/>
      <c r="CH626" s="74"/>
      <c r="CI626" s="74"/>
      <c r="CJ626" s="74"/>
      <c r="CK626" s="74"/>
      <c r="CL626" s="74"/>
      <c r="CM626" s="74"/>
      <c r="CN626" s="74"/>
      <c r="CO626" s="74"/>
      <c r="CP626" s="74"/>
      <c r="CQ626" s="74"/>
      <c r="CR626" s="74"/>
      <c r="CS626" s="74"/>
      <c r="CT626" s="74"/>
      <c r="CU626" s="74"/>
      <c r="CV626" s="74"/>
      <c r="CW626" s="74"/>
      <c r="CX626" s="74"/>
      <c r="CY626" s="74"/>
      <c r="CZ626" s="74"/>
      <c r="DA626" s="74"/>
      <c r="DB626" s="74"/>
      <c r="DC626" s="74"/>
    </row>
    <row r="627" spans="15:107" customFormat="1" x14ac:dyDescent="0.35">
      <c r="O627" s="76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  <c r="AS627" s="74"/>
      <c r="AT627" s="74"/>
      <c r="AU627" s="74"/>
      <c r="AV627" s="74"/>
      <c r="AW627" s="74"/>
      <c r="AX627" s="74"/>
      <c r="AY627" s="74"/>
      <c r="AZ627" s="74"/>
      <c r="BA627" s="74"/>
      <c r="BB627" s="74"/>
      <c r="BC627" s="74"/>
      <c r="BD627" s="74"/>
      <c r="BE627" s="74"/>
      <c r="BF627" s="74"/>
      <c r="BG627" s="74"/>
      <c r="BH627" s="74"/>
      <c r="BI627" s="74"/>
      <c r="BJ627" s="74"/>
      <c r="BK627" s="74"/>
      <c r="BL627" s="74"/>
      <c r="BM627" s="74"/>
      <c r="BN627" s="74"/>
      <c r="BO627" s="74"/>
      <c r="BP627" s="74"/>
      <c r="BQ627" s="74"/>
      <c r="BR627" s="74"/>
      <c r="BS627" s="74"/>
      <c r="BT627" s="74"/>
      <c r="BU627" s="74"/>
      <c r="BV627" s="74"/>
      <c r="BW627" s="74"/>
      <c r="BX627" s="74"/>
      <c r="BY627" s="74"/>
      <c r="BZ627" s="74"/>
      <c r="CA627" s="74"/>
      <c r="CB627" s="74"/>
      <c r="CC627" s="74"/>
      <c r="CD627" s="74"/>
      <c r="CE627" s="74"/>
      <c r="CF627" s="74"/>
      <c r="CG627" s="74"/>
      <c r="CH627" s="74"/>
      <c r="CI627" s="74"/>
      <c r="CJ627" s="74"/>
      <c r="CK627" s="74"/>
      <c r="CL627" s="74"/>
      <c r="CM627" s="74"/>
      <c r="CN627" s="74"/>
      <c r="CO627" s="74"/>
      <c r="CP627" s="74"/>
      <c r="CQ627" s="74"/>
      <c r="CR627" s="74"/>
      <c r="CS627" s="74"/>
      <c r="CT627" s="74"/>
      <c r="CU627" s="74"/>
      <c r="CV627" s="74"/>
      <c r="CW627" s="74"/>
      <c r="CX627" s="74"/>
      <c r="CY627" s="74"/>
      <c r="CZ627" s="74"/>
      <c r="DA627" s="74"/>
      <c r="DB627" s="74"/>
      <c r="DC627" s="74"/>
    </row>
    <row r="628" spans="15:107" customFormat="1" x14ac:dyDescent="0.35">
      <c r="O628" s="76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  <c r="AS628" s="74"/>
      <c r="AT628" s="74"/>
      <c r="AU628" s="74"/>
      <c r="AV628" s="74"/>
      <c r="AW628" s="74"/>
      <c r="AX628" s="74"/>
      <c r="AY628" s="74"/>
      <c r="AZ628" s="74"/>
      <c r="BA628" s="74"/>
      <c r="BB628" s="74"/>
      <c r="BC628" s="74"/>
      <c r="BD628" s="74"/>
      <c r="BE628" s="74"/>
      <c r="BF628" s="74"/>
      <c r="BG628" s="74"/>
      <c r="BH628" s="74"/>
      <c r="BI628" s="74"/>
      <c r="BJ628" s="74"/>
      <c r="BK628" s="74"/>
      <c r="BL628" s="74"/>
      <c r="BM628" s="74"/>
      <c r="BN628" s="74"/>
      <c r="BO628" s="74"/>
      <c r="BP628" s="74"/>
      <c r="BQ628" s="74"/>
      <c r="BR628" s="74"/>
      <c r="BS628" s="74"/>
      <c r="BT628" s="74"/>
      <c r="BU628" s="74"/>
      <c r="BV628" s="74"/>
      <c r="BW628" s="74"/>
      <c r="BX628" s="74"/>
      <c r="BY628" s="74"/>
      <c r="BZ628" s="74"/>
      <c r="CA628" s="74"/>
      <c r="CB628" s="74"/>
      <c r="CC628" s="74"/>
      <c r="CD628" s="74"/>
      <c r="CE628" s="74"/>
      <c r="CF628" s="74"/>
      <c r="CG628" s="74"/>
      <c r="CH628" s="74"/>
      <c r="CI628" s="74"/>
      <c r="CJ628" s="74"/>
      <c r="CK628" s="74"/>
      <c r="CL628" s="74"/>
      <c r="CM628" s="74"/>
      <c r="CN628" s="74"/>
      <c r="CO628" s="74"/>
      <c r="CP628" s="74"/>
      <c r="CQ628" s="74"/>
      <c r="CR628" s="74"/>
      <c r="CS628" s="74"/>
      <c r="CT628" s="74"/>
      <c r="CU628" s="74"/>
      <c r="CV628" s="74"/>
      <c r="CW628" s="74"/>
      <c r="CX628" s="74"/>
      <c r="CY628" s="74"/>
      <c r="CZ628" s="74"/>
      <c r="DA628" s="74"/>
      <c r="DB628" s="74"/>
      <c r="DC628" s="74"/>
    </row>
    <row r="629" spans="15:107" customFormat="1" x14ac:dyDescent="0.35">
      <c r="O629" s="76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74"/>
      <c r="AT629" s="74"/>
      <c r="AU629" s="74"/>
      <c r="AV629" s="74"/>
      <c r="AW629" s="74"/>
      <c r="AX629" s="74"/>
      <c r="AY629" s="74"/>
      <c r="AZ629" s="74"/>
      <c r="BA629" s="74"/>
      <c r="BB629" s="74"/>
      <c r="BC629" s="74"/>
      <c r="BD629" s="74"/>
      <c r="BE629" s="74"/>
      <c r="BF629" s="74"/>
      <c r="BG629" s="74"/>
      <c r="BH629" s="74"/>
      <c r="BI629" s="74"/>
      <c r="BJ629" s="74"/>
      <c r="BK629" s="74"/>
      <c r="BL629" s="74"/>
      <c r="BM629" s="74"/>
      <c r="BN629" s="74"/>
      <c r="BO629" s="74"/>
      <c r="BP629" s="74"/>
      <c r="BQ629" s="74"/>
      <c r="BR629" s="74"/>
      <c r="BS629" s="74"/>
      <c r="BT629" s="74"/>
      <c r="BU629" s="74"/>
      <c r="BV629" s="74"/>
      <c r="BW629" s="74"/>
      <c r="BX629" s="74"/>
      <c r="BY629" s="74"/>
      <c r="BZ629" s="74"/>
      <c r="CA629" s="74"/>
      <c r="CB629" s="74"/>
      <c r="CC629" s="74"/>
      <c r="CD629" s="74"/>
      <c r="CE629" s="74"/>
      <c r="CF629" s="74"/>
      <c r="CG629" s="74"/>
      <c r="CH629" s="74"/>
      <c r="CI629" s="74"/>
      <c r="CJ629" s="74"/>
      <c r="CK629" s="74"/>
      <c r="CL629" s="74"/>
      <c r="CM629" s="74"/>
      <c r="CN629" s="74"/>
      <c r="CO629" s="74"/>
      <c r="CP629" s="74"/>
      <c r="CQ629" s="74"/>
      <c r="CR629" s="74"/>
      <c r="CS629" s="74"/>
      <c r="CT629" s="74"/>
      <c r="CU629" s="74"/>
      <c r="CV629" s="74"/>
      <c r="CW629" s="74"/>
      <c r="CX629" s="74"/>
      <c r="CY629" s="74"/>
      <c r="CZ629" s="74"/>
      <c r="DA629" s="74"/>
      <c r="DB629" s="74"/>
      <c r="DC629" s="74"/>
    </row>
    <row r="630" spans="15:107" customFormat="1" x14ac:dyDescent="0.35">
      <c r="O630" s="76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74"/>
      <c r="AT630" s="74"/>
      <c r="AU630" s="74"/>
      <c r="AV630" s="74"/>
      <c r="AW630" s="74"/>
      <c r="AX630" s="74"/>
      <c r="AY630" s="74"/>
      <c r="AZ630" s="74"/>
      <c r="BA630" s="74"/>
      <c r="BB630" s="74"/>
      <c r="BC630" s="74"/>
      <c r="BD630" s="74"/>
      <c r="BE630" s="74"/>
      <c r="BF630" s="74"/>
      <c r="BG630" s="74"/>
      <c r="BH630" s="74"/>
      <c r="BI630" s="74"/>
      <c r="BJ630" s="74"/>
      <c r="BK630" s="74"/>
      <c r="BL630" s="74"/>
      <c r="BM630" s="74"/>
      <c r="BN630" s="74"/>
      <c r="BO630" s="74"/>
      <c r="BP630" s="74"/>
      <c r="BQ630" s="74"/>
      <c r="BR630" s="74"/>
      <c r="BS630" s="74"/>
      <c r="BT630" s="74"/>
      <c r="BU630" s="74"/>
      <c r="BV630" s="74"/>
      <c r="BW630" s="74"/>
      <c r="BX630" s="74"/>
      <c r="BY630" s="74"/>
      <c r="BZ630" s="74"/>
      <c r="CA630" s="74"/>
      <c r="CB630" s="74"/>
      <c r="CC630" s="74"/>
      <c r="CD630" s="74"/>
      <c r="CE630" s="74"/>
      <c r="CF630" s="74"/>
      <c r="CG630" s="74"/>
      <c r="CH630" s="74"/>
      <c r="CI630" s="74"/>
      <c r="CJ630" s="74"/>
      <c r="CK630" s="74"/>
      <c r="CL630" s="74"/>
      <c r="CM630" s="74"/>
      <c r="CN630" s="74"/>
      <c r="CO630" s="74"/>
      <c r="CP630" s="74"/>
      <c r="CQ630" s="74"/>
      <c r="CR630" s="74"/>
      <c r="CS630" s="74"/>
      <c r="CT630" s="74"/>
      <c r="CU630" s="74"/>
      <c r="CV630" s="74"/>
      <c r="CW630" s="74"/>
      <c r="CX630" s="74"/>
      <c r="CY630" s="74"/>
      <c r="CZ630" s="74"/>
      <c r="DA630" s="74"/>
      <c r="DB630" s="74"/>
      <c r="DC630" s="74"/>
    </row>
    <row r="631" spans="15:107" customFormat="1" x14ac:dyDescent="0.35">
      <c r="O631" s="76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  <c r="AS631" s="74"/>
      <c r="AT631" s="74"/>
      <c r="AU631" s="74"/>
      <c r="AV631" s="74"/>
      <c r="AW631" s="74"/>
      <c r="AX631" s="74"/>
      <c r="AY631" s="74"/>
      <c r="AZ631" s="74"/>
      <c r="BA631" s="74"/>
      <c r="BB631" s="74"/>
      <c r="BC631" s="74"/>
      <c r="BD631" s="74"/>
      <c r="BE631" s="74"/>
      <c r="BF631" s="74"/>
      <c r="BG631" s="74"/>
      <c r="BH631" s="74"/>
      <c r="BI631" s="74"/>
      <c r="BJ631" s="74"/>
      <c r="BK631" s="74"/>
      <c r="BL631" s="74"/>
      <c r="BM631" s="74"/>
      <c r="BN631" s="74"/>
      <c r="BO631" s="74"/>
      <c r="BP631" s="74"/>
      <c r="BQ631" s="74"/>
      <c r="BR631" s="74"/>
      <c r="BS631" s="74"/>
      <c r="BT631" s="74"/>
      <c r="BU631" s="74"/>
      <c r="BV631" s="74"/>
      <c r="BW631" s="74"/>
      <c r="BX631" s="74"/>
      <c r="BY631" s="74"/>
      <c r="BZ631" s="74"/>
      <c r="CA631" s="74"/>
      <c r="CB631" s="74"/>
      <c r="CC631" s="74"/>
      <c r="CD631" s="74"/>
      <c r="CE631" s="74"/>
      <c r="CF631" s="74"/>
      <c r="CG631" s="74"/>
      <c r="CH631" s="74"/>
      <c r="CI631" s="74"/>
      <c r="CJ631" s="74"/>
      <c r="CK631" s="74"/>
      <c r="CL631" s="74"/>
      <c r="CM631" s="74"/>
      <c r="CN631" s="74"/>
      <c r="CO631" s="74"/>
      <c r="CP631" s="74"/>
      <c r="CQ631" s="74"/>
      <c r="CR631" s="74"/>
      <c r="CS631" s="74"/>
      <c r="CT631" s="74"/>
      <c r="CU631" s="74"/>
      <c r="CV631" s="74"/>
      <c r="CW631" s="74"/>
      <c r="CX631" s="74"/>
      <c r="CY631" s="74"/>
      <c r="CZ631" s="74"/>
      <c r="DA631" s="74"/>
      <c r="DB631" s="74"/>
      <c r="DC631" s="74"/>
    </row>
    <row r="632" spans="15:107" customFormat="1" x14ac:dyDescent="0.35">
      <c r="O632" s="76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74"/>
      <c r="AT632" s="74"/>
      <c r="AU632" s="74"/>
      <c r="AV632" s="74"/>
      <c r="AW632" s="74"/>
      <c r="AX632" s="74"/>
      <c r="AY632" s="74"/>
      <c r="AZ632" s="74"/>
      <c r="BA632" s="74"/>
      <c r="BB632" s="74"/>
      <c r="BC632" s="74"/>
      <c r="BD632" s="74"/>
      <c r="BE632" s="74"/>
      <c r="BF632" s="74"/>
      <c r="BG632" s="74"/>
      <c r="BH632" s="74"/>
      <c r="BI632" s="74"/>
      <c r="BJ632" s="74"/>
      <c r="BK632" s="74"/>
      <c r="BL632" s="74"/>
      <c r="BM632" s="74"/>
      <c r="BN632" s="74"/>
      <c r="BO632" s="74"/>
      <c r="BP632" s="74"/>
      <c r="BQ632" s="74"/>
      <c r="BR632" s="74"/>
      <c r="BS632" s="74"/>
      <c r="BT632" s="74"/>
      <c r="BU632" s="74"/>
      <c r="BV632" s="74"/>
      <c r="BW632" s="74"/>
      <c r="BX632" s="74"/>
      <c r="BY632" s="74"/>
      <c r="BZ632" s="74"/>
      <c r="CA632" s="74"/>
      <c r="CB632" s="74"/>
      <c r="CC632" s="74"/>
      <c r="CD632" s="74"/>
      <c r="CE632" s="74"/>
      <c r="CF632" s="74"/>
      <c r="CG632" s="74"/>
      <c r="CH632" s="74"/>
      <c r="CI632" s="74"/>
      <c r="CJ632" s="74"/>
      <c r="CK632" s="74"/>
      <c r="CL632" s="74"/>
      <c r="CM632" s="74"/>
      <c r="CN632" s="74"/>
      <c r="CO632" s="74"/>
      <c r="CP632" s="74"/>
      <c r="CQ632" s="74"/>
      <c r="CR632" s="74"/>
      <c r="CS632" s="74"/>
      <c r="CT632" s="74"/>
      <c r="CU632" s="74"/>
      <c r="CV632" s="74"/>
      <c r="CW632" s="74"/>
      <c r="CX632" s="74"/>
      <c r="CY632" s="74"/>
      <c r="CZ632" s="74"/>
      <c r="DA632" s="74"/>
      <c r="DB632" s="74"/>
      <c r="DC632" s="74"/>
    </row>
    <row r="633" spans="15:107" customFormat="1" x14ac:dyDescent="0.35">
      <c r="O633" s="76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  <c r="AS633" s="74"/>
      <c r="AT633" s="74"/>
      <c r="AU633" s="74"/>
      <c r="AV633" s="74"/>
      <c r="AW633" s="74"/>
      <c r="AX633" s="74"/>
      <c r="AY633" s="74"/>
      <c r="AZ633" s="74"/>
      <c r="BA633" s="74"/>
      <c r="BB633" s="74"/>
      <c r="BC633" s="74"/>
      <c r="BD633" s="74"/>
      <c r="BE633" s="74"/>
      <c r="BF633" s="74"/>
      <c r="BG633" s="74"/>
      <c r="BH633" s="74"/>
      <c r="BI633" s="74"/>
      <c r="BJ633" s="74"/>
      <c r="BK633" s="74"/>
      <c r="BL633" s="74"/>
      <c r="BM633" s="74"/>
      <c r="BN633" s="74"/>
      <c r="BO633" s="74"/>
      <c r="BP633" s="74"/>
      <c r="BQ633" s="74"/>
      <c r="BR633" s="74"/>
      <c r="BS633" s="74"/>
      <c r="BT633" s="74"/>
      <c r="BU633" s="74"/>
      <c r="BV633" s="74"/>
      <c r="BW633" s="74"/>
      <c r="BX633" s="74"/>
      <c r="BY633" s="74"/>
      <c r="BZ633" s="74"/>
      <c r="CA633" s="74"/>
      <c r="CB633" s="74"/>
      <c r="CC633" s="74"/>
      <c r="CD633" s="74"/>
      <c r="CE633" s="74"/>
      <c r="CF633" s="74"/>
      <c r="CG633" s="74"/>
      <c r="CH633" s="74"/>
      <c r="CI633" s="74"/>
      <c r="CJ633" s="74"/>
      <c r="CK633" s="74"/>
      <c r="CL633" s="74"/>
      <c r="CM633" s="74"/>
      <c r="CN633" s="74"/>
      <c r="CO633" s="74"/>
      <c r="CP633" s="74"/>
      <c r="CQ633" s="74"/>
      <c r="CR633" s="74"/>
      <c r="CS633" s="74"/>
      <c r="CT633" s="74"/>
      <c r="CU633" s="74"/>
      <c r="CV633" s="74"/>
      <c r="CW633" s="74"/>
      <c r="CX633" s="74"/>
      <c r="CY633" s="74"/>
      <c r="CZ633" s="74"/>
      <c r="DA633" s="74"/>
      <c r="DB633" s="74"/>
      <c r="DC633" s="74"/>
    </row>
    <row r="634" spans="15:107" customFormat="1" x14ac:dyDescent="0.35">
      <c r="O634" s="76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  <c r="AS634" s="74"/>
      <c r="AT634" s="74"/>
      <c r="AU634" s="74"/>
      <c r="AV634" s="74"/>
      <c r="AW634" s="74"/>
      <c r="AX634" s="74"/>
      <c r="AY634" s="74"/>
      <c r="AZ634" s="74"/>
      <c r="BA634" s="74"/>
      <c r="BB634" s="74"/>
      <c r="BC634" s="74"/>
      <c r="BD634" s="74"/>
      <c r="BE634" s="74"/>
      <c r="BF634" s="74"/>
      <c r="BG634" s="74"/>
      <c r="BH634" s="74"/>
      <c r="BI634" s="74"/>
      <c r="BJ634" s="74"/>
      <c r="BK634" s="74"/>
      <c r="BL634" s="74"/>
      <c r="BM634" s="74"/>
      <c r="BN634" s="74"/>
      <c r="BO634" s="74"/>
      <c r="BP634" s="74"/>
      <c r="BQ634" s="74"/>
      <c r="BR634" s="74"/>
      <c r="BS634" s="74"/>
      <c r="BT634" s="74"/>
      <c r="BU634" s="74"/>
      <c r="BV634" s="74"/>
      <c r="BW634" s="74"/>
      <c r="BX634" s="74"/>
      <c r="BY634" s="74"/>
      <c r="BZ634" s="74"/>
      <c r="CA634" s="74"/>
      <c r="CB634" s="74"/>
      <c r="CC634" s="74"/>
      <c r="CD634" s="74"/>
      <c r="CE634" s="74"/>
      <c r="CF634" s="74"/>
      <c r="CG634" s="74"/>
      <c r="CH634" s="74"/>
      <c r="CI634" s="74"/>
      <c r="CJ634" s="74"/>
      <c r="CK634" s="74"/>
      <c r="CL634" s="74"/>
      <c r="CM634" s="74"/>
      <c r="CN634" s="74"/>
      <c r="CO634" s="74"/>
      <c r="CP634" s="74"/>
      <c r="CQ634" s="74"/>
      <c r="CR634" s="74"/>
      <c r="CS634" s="74"/>
      <c r="CT634" s="74"/>
      <c r="CU634" s="74"/>
      <c r="CV634" s="74"/>
      <c r="CW634" s="74"/>
      <c r="CX634" s="74"/>
      <c r="CY634" s="74"/>
      <c r="CZ634" s="74"/>
      <c r="DA634" s="74"/>
      <c r="DB634" s="74"/>
      <c r="DC634" s="74"/>
    </row>
    <row r="635" spans="15:107" customFormat="1" x14ac:dyDescent="0.35">
      <c r="O635" s="76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  <c r="AT635" s="74"/>
      <c r="AU635" s="74"/>
      <c r="AV635" s="74"/>
      <c r="AW635" s="74"/>
      <c r="AX635" s="74"/>
      <c r="AY635" s="74"/>
      <c r="AZ635" s="74"/>
      <c r="BA635" s="74"/>
      <c r="BB635" s="74"/>
      <c r="BC635" s="74"/>
      <c r="BD635" s="74"/>
      <c r="BE635" s="74"/>
      <c r="BF635" s="74"/>
      <c r="BG635" s="74"/>
      <c r="BH635" s="74"/>
      <c r="BI635" s="74"/>
      <c r="BJ635" s="74"/>
      <c r="BK635" s="74"/>
      <c r="BL635" s="74"/>
      <c r="BM635" s="74"/>
      <c r="BN635" s="74"/>
      <c r="BO635" s="74"/>
      <c r="BP635" s="74"/>
      <c r="BQ635" s="74"/>
      <c r="BR635" s="74"/>
      <c r="BS635" s="74"/>
      <c r="BT635" s="74"/>
      <c r="BU635" s="74"/>
      <c r="BV635" s="74"/>
      <c r="BW635" s="74"/>
      <c r="BX635" s="74"/>
      <c r="BY635" s="74"/>
      <c r="BZ635" s="74"/>
      <c r="CA635" s="74"/>
      <c r="CB635" s="74"/>
      <c r="CC635" s="74"/>
      <c r="CD635" s="74"/>
      <c r="CE635" s="74"/>
      <c r="CF635" s="74"/>
      <c r="CG635" s="74"/>
      <c r="CH635" s="74"/>
      <c r="CI635" s="74"/>
      <c r="CJ635" s="74"/>
      <c r="CK635" s="74"/>
      <c r="CL635" s="74"/>
      <c r="CM635" s="74"/>
      <c r="CN635" s="74"/>
      <c r="CO635" s="74"/>
      <c r="CP635" s="74"/>
      <c r="CQ635" s="74"/>
      <c r="CR635" s="74"/>
      <c r="CS635" s="74"/>
      <c r="CT635" s="74"/>
      <c r="CU635" s="74"/>
      <c r="CV635" s="74"/>
      <c r="CW635" s="74"/>
      <c r="CX635" s="74"/>
      <c r="CY635" s="74"/>
      <c r="CZ635" s="74"/>
      <c r="DA635" s="74"/>
      <c r="DB635" s="74"/>
      <c r="DC635" s="74"/>
    </row>
    <row r="636" spans="15:107" customFormat="1" x14ac:dyDescent="0.35">
      <c r="O636" s="76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  <c r="AS636" s="74"/>
      <c r="AT636" s="74"/>
      <c r="AU636" s="74"/>
      <c r="AV636" s="74"/>
      <c r="AW636" s="74"/>
      <c r="AX636" s="74"/>
      <c r="AY636" s="74"/>
      <c r="AZ636" s="74"/>
      <c r="BA636" s="74"/>
      <c r="BB636" s="74"/>
      <c r="BC636" s="74"/>
      <c r="BD636" s="74"/>
      <c r="BE636" s="74"/>
      <c r="BF636" s="74"/>
      <c r="BG636" s="74"/>
      <c r="BH636" s="74"/>
      <c r="BI636" s="74"/>
      <c r="BJ636" s="74"/>
      <c r="BK636" s="74"/>
      <c r="BL636" s="74"/>
      <c r="BM636" s="74"/>
      <c r="BN636" s="74"/>
      <c r="BO636" s="74"/>
      <c r="BP636" s="74"/>
      <c r="BQ636" s="74"/>
      <c r="BR636" s="74"/>
      <c r="BS636" s="74"/>
      <c r="BT636" s="74"/>
      <c r="BU636" s="74"/>
      <c r="BV636" s="74"/>
      <c r="BW636" s="74"/>
      <c r="BX636" s="74"/>
      <c r="BY636" s="74"/>
      <c r="BZ636" s="74"/>
      <c r="CA636" s="74"/>
      <c r="CB636" s="74"/>
      <c r="CC636" s="74"/>
      <c r="CD636" s="74"/>
      <c r="CE636" s="74"/>
      <c r="CF636" s="74"/>
      <c r="CG636" s="74"/>
      <c r="CH636" s="74"/>
      <c r="CI636" s="74"/>
      <c r="CJ636" s="74"/>
      <c r="CK636" s="74"/>
      <c r="CL636" s="74"/>
      <c r="CM636" s="74"/>
      <c r="CN636" s="74"/>
      <c r="CO636" s="74"/>
      <c r="CP636" s="74"/>
      <c r="CQ636" s="74"/>
      <c r="CR636" s="74"/>
      <c r="CS636" s="74"/>
      <c r="CT636" s="74"/>
      <c r="CU636" s="74"/>
      <c r="CV636" s="74"/>
      <c r="CW636" s="74"/>
      <c r="CX636" s="74"/>
      <c r="CY636" s="74"/>
      <c r="CZ636" s="74"/>
      <c r="DA636" s="74"/>
      <c r="DB636" s="74"/>
      <c r="DC636" s="74"/>
    </row>
    <row r="637" spans="15:107" customFormat="1" x14ac:dyDescent="0.35">
      <c r="O637" s="76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  <c r="AS637" s="74"/>
      <c r="AT637" s="74"/>
      <c r="AU637" s="74"/>
      <c r="AV637" s="74"/>
      <c r="AW637" s="74"/>
      <c r="AX637" s="74"/>
      <c r="AY637" s="74"/>
      <c r="AZ637" s="74"/>
      <c r="BA637" s="74"/>
      <c r="BB637" s="74"/>
      <c r="BC637" s="74"/>
      <c r="BD637" s="74"/>
      <c r="BE637" s="74"/>
      <c r="BF637" s="74"/>
      <c r="BG637" s="74"/>
      <c r="BH637" s="74"/>
      <c r="BI637" s="74"/>
      <c r="BJ637" s="74"/>
      <c r="BK637" s="74"/>
      <c r="BL637" s="74"/>
      <c r="BM637" s="74"/>
      <c r="BN637" s="74"/>
      <c r="BO637" s="74"/>
      <c r="BP637" s="74"/>
      <c r="BQ637" s="74"/>
      <c r="BR637" s="74"/>
      <c r="BS637" s="74"/>
      <c r="BT637" s="74"/>
      <c r="BU637" s="74"/>
      <c r="BV637" s="74"/>
      <c r="BW637" s="74"/>
      <c r="BX637" s="74"/>
      <c r="BY637" s="74"/>
      <c r="BZ637" s="74"/>
      <c r="CA637" s="74"/>
      <c r="CB637" s="74"/>
      <c r="CC637" s="74"/>
      <c r="CD637" s="74"/>
      <c r="CE637" s="74"/>
      <c r="CF637" s="74"/>
      <c r="CG637" s="74"/>
      <c r="CH637" s="74"/>
      <c r="CI637" s="74"/>
      <c r="CJ637" s="74"/>
      <c r="CK637" s="74"/>
      <c r="CL637" s="74"/>
      <c r="CM637" s="74"/>
      <c r="CN637" s="74"/>
      <c r="CO637" s="74"/>
      <c r="CP637" s="74"/>
      <c r="CQ637" s="74"/>
      <c r="CR637" s="74"/>
      <c r="CS637" s="74"/>
      <c r="CT637" s="74"/>
      <c r="CU637" s="74"/>
      <c r="CV637" s="74"/>
      <c r="CW637" s="74"/>
      <c r="CX637" s="74"/>
      <c r="CY637" s="74"/>
      <c r="CZ637" s="74"/>
      <c r="DA637" s="74"/>
      <c r="DB637" s="74"/>
      <c r="DC637" s="74"/>
    </row>
    <row r="638" spans="15:107" customFormat="1" x14ac:dyDescent="0.35">
      <c r="O638" s="76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  <c r="AS638" s="74"/>
      <c r="AT638" s="74"/>
      <c r="AU638" s="74"/>
      <c r="AV638" s="74"/>
      <c r="AW638" s="74"/>
      <c r="AX638" s="74"/>
      <c r="AY638" s="74"/>
      <c r="AZ638" s="74"/>
      <c r="BA638" s="74"/>
      <c r="BB638" s="74"/>
      <c r="BC638" s="74"/>
      <c r="BD638" s="74"/>
      <c r="BE638" s="74"/>
      <c r="BF638" s="74"/>
      <c r="BG638" s="74"/>
      <c r="BH638" s="74"/>
      <c r="BI638" s="74"/>
      <c r="BJ638" s="74"/>
      <c r="BK638" s="74"/>
      <c r="BL638" s="74"/>
      <c r="BM638" s="74"/>
      <c r="BN638" s="74"/>
      <c r="BO638" s="74"/>
      <c r="BP638" s="74"/>
      <c r="BQ638" s="74"/>
      <c r="BR638" s="74"/>
      <c r="BS638" s="74"/>
      <c r="BT638" s="74"/>
      <c r="BU638" s="74"/>
      <c r="BV638" s="74"/>
      <c r="BW638" s="74"/>
      <c r="BX638" s="74"/>
      <c r="BY638" s="74"/>
      <c r="BZ638" s="74"/>
      <c r="CA638" s="74"/>
      <c r="CB638" s="74"/>
      <c r="CC638" s="74"/>
      <c r="CD638" s="74"/>
      <c r="CE638" s="74"/>
      <c r="CF638" s="74"/>
      <c r="CG638" s="74"/>
      <c r="CH638" s="74"/>
      <c r="CI638" s="74"/>
      <c r="CJ638" s="74"/>
      <c r="CK638" s="74"/>
      <c r="CL638" s="74"/>
      <c r="CM638" s="74"/>
      <c r="CN638" s="74"/>
      <c r="CO638" s="74"/>
      <c r="CP638" s="74"/>
      <c r="CQ638" s="74"/>
      <c r="CR638" s="74"/>
      <c r="CS638" s="74"/>
      <c r="CT638" s="74"/>
      <c r="CU638" s="74"/>
      <c r="CV638" s="74"/>
      <c r="CW638" s="74"/>
      <c r="CX638" s="74"/>
      <c r="CY638" s="74"/>
      <c r="CZ638" s="74"/>
      <c r="DA638" s="74"/>
      <c r="DB638" s="74"/>
      <c r="DC638" s="74"/>
    </row>
    <row r="639" spans="15:107" customFormat="1" x14ac:dyDescent="0.35">
      <c r="O639" s="76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  <c r="AS639" s="74"/>
      <c r="AT639" s="74"/>
      <c r="AU639" s="74"/>
      <c r="AV639" s="74"/>
      <c r="AW639" s="74"/>
      <c r="AX639" s="74"/>
      <c r="AY639" s="74"/>
      <c r="AZ639" s="74"/>
      <c r="BA639" s="74"/>
      <c r="BB639" s="74"/>
      <c r="BC639" s="74"/>
      <c r="BD639" s="74"/>
      <c r="BE639" s="74"/>
      <c r="BF639" s="74"/>
      <c r="BG639" s="74"/>
      <c r="BH639" s="74"/>
      <c r="BI639" s="74"/>
      <c r="BJ639" s="74"/>
      <c r="BK639" s="74"/>
      <c r="BL639" s="74"/>
      <c r="BM639" s="74"/>
      <c r="BN639" s="74"/>
      <c r="BO639" s="74"/>
      <c r="BP639" s="74"/>
      <c r="BQ639" s="74"/>
      <c r="BR639" s="74"/>
      <c r="BS639" s="74"/>
      <c r="BT639" s="74"/>
      <c r="BU639" s="74"/>
      <c r="BV639" s="74"/>
      <c r="BW639" s="74"/>
      <c r="BX639" s="74"/>
      <c r="BY639" s="74"/>
      <c r="BZ639" s="74"/>
      <c r="CA639" s="74"/>
      <c r="CB639" s="74"/>
      <c r="CC639" s="74"/>
      <c r="CD639" s="74"/>
      <c r="CE639" s="74"/>
      <c r="CF639" s="74"/>
      <c r="CG639" s="74"/>
      <c r="CH639" s="74"/>
      <c r="CI639" s="74"/>
      <c r="CJ639" s="74"/>
      <c r="CK639" s="74"/>
      <c r="CL639" s="74"/>
      <c r="CM639" s="74"/>
      <c r="CN639" s="74"/>
      <c r="CO639" s="74"/>
      <c r="CP639" s="74"/>
      <c r="CQ639" s="74"/>
      <c r="CR639" s="74"/>
      <c r="CS639" s="74"/>
      <c r="CT639" s="74"/>
      <c r="CU639" s="74"/>
      <c r="CV639" s="74"/>
      <c r="CW639" s="74"/>
      <c r="CX639" s="74"/>
      <c r="CY639" s="74"/>
      <c r="CZ639" s="74"/>
      <c r="DA639" s="74"/>
      <c r="DB639" s="74"/>
      <c r="DC639" s="74"/>
    </row>
    <row r="640" spans="15:107" customFormat="1" x14ac:dyDescent="0.35">
      <c r="O640" s="76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74"/>
      <c r="AT640" s="74"/>
      <c r="AU640" s="74"/>
      <c r="AV640" s="74"/>
      <c r="AW640" s="74"/>
      <c r="AX640" s="74"/>
      <c r="AY640" s="74"/>
      <c r="AZ640" s="74"/>
      <c r="BA640" s="74"/>
      <c r="BB640" s="74"/>
      <c r="BC640" s="74"/>
      <c r="BD640" s="74"/>
      <c r="BE640" s="74"/>
      <c r="BF640" s="74"/>
      <c r="BG640" s="74"/>
      <c r="BH640" s="74"/>
      <c r="BI640" s="74"/>
      <c r="BJ640" s="74"/>
      <c r="BK640" s="74"/>
      <c r="BL640" s="74"/>
      <c r="BM640" s="74"/>
      <c r="BN640" s="74"/>
      <c r="BO640" s="74"/>
      <c r="BP640" s="74"/>
      <c r="BQ640" s="74"/>
      <c r="BR640" s="74"/>
      <c r="BS640" s="74"/>
      <c r="BT640" s="74"/>
      <c r="BU640" s="74"/>
      <c r="BV640" s="74"/>
      <c r="BW640" s="74"/>
      <c r="BX640" s="74"/>
      <c r="BY640" s="74"/>
      <c r="BZ640" s="74"/>
      <c r="CA640" s="74"/>
      <c r="CB640" s="74"/>
      <c r="CC640" s="74"/>
      <c r="CD640" s="74"/>
      <c r="CE640" s="74"/>
      <c r="CF640" s="74"/>
      <c r="CG640" s="74"/>
      <c r="CH640" s="74"/>
      <c r="CI640" s="74"/>
      <c r="CJ640" s="74"/>
      <c r="CK640" s="74"/>
      <c r="CL640" s="74"/>
      <c r="CM640" s="74"/>
      <c r="CN640" s="74"/>
      <c r="CO640" s="74"/>
      <c r="CP640" s="74"/>
      <c r="CQ640" s="74"/>
      <c r="CR640" s="74"/>
      <c r="CS640" s="74"/>
      <c r="CT640" s="74"/>
      <c r="CU640" s="74"/>
      <c r="CV640" s="74"/>
      <c r="CW640" s="74"/>
      <c r="CX640" s="74"/>
      <c r="CY640" s="74"/>
      <c r="CZ640" s="74"/>
      <c r="DA640" s="74"/>
      <c r="DB640" s="74"/>
      <c r="DC640" s="74"/>
    </row>
    <row r="641" spans="15:107" customFormat="1" x14ac:dyDescent="0.35">
      <c r="O641" s="76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  <c r="AS641" s="74"/>
      <c r="AT641" s="74"/>
      <c r="AU641" s="74"/>
      <c r="AV641" s="74"/>
      <c r="AW641" s="74"/>
      <c r="AX641" s="74"/>
      <c r="AY641" s="74"/>
      <c r="AZ641" s="74"/>
      <c r="BA641" s="74"/>
      <c r="BB641" s="74"/>
      <c r="BC641" s="74"/>
      <c r="BD641" s="74"/>
      <c r="BE641" s="74"/>
      <c r="BF641" s="74"/>
      <c r="BG641" s="74"/>
      <c r="BH641" s="74"/>
      <c r="BI641" s="74"/>
      <c r="BJ641" s="74"/>
      <c r="BK641" s="74"/>
      <c r="BL641" s="74"/>
      <c r="BM641" s="74"/>
      <c r="BN641" s="74"/>
      <c r="BO641" s="74"/>
      <c r="BP641" s="74"/>
      <c r="BQ641" s="74"/>
      <c r="BR641" s="74"/>
      <c r="BS641" s="74"/>
      <c r="BT641" s="74"/>
      <c r="BU641" s="74"/>
      <c r="BV641" s="74"/>
      <c r="BW641" s="74"/>
      <c r="BX641" s="74"/>
      <c r="BY641" s="74"/>
      <c r="BZ641" s="74"/>
      <c r="CA641" s="74"/>
      <c r="CB641" s="74"/>
      <c r="CC641" s="74"/>
      <c r="CD641" s="74"/>
      <c r="CE641" s="74"/>
      <c r="CF641" s="74"/>
      <c r="CG641" s="74"/>
      <c r="CH641" s="74"/>
      <c r="CI641" s="74"/>
      <c r="CJ641" s="74"/>
      <c r="CK641" s="74"/>
      <c r="CL641" s="74"/>
      <c r="CM641" s="74"/>
      <c r="CN641" s="74"/>
      <c r="CO641" s="74"/>
      <c r="CP641" s="74"/>
      <c r="CQ641" s="74"/>
      <c r="CR641" s="74"/>
      <c r="CS641" s="74"/>
      <c r="CT641" s="74"/>
      <c r="CU641" s="74"/>
      <c r="CV641" s="74"/>
      <c r="CW641" s="74"/>
      <c r="CX641" s="74"/>
      <c r="CY641" s="74"/>
      <c r="CZ641" s="74"/>
      <c r="DA641" s="74"/>
      <c r="DB641" s="74"/>
      <c r="DC641" s="74"/>
    </row>
    <row r="642" spans="15:107" customFormat="1" x14ac:dyDescent="0.35">
      <c r="O642" s="76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  <c r="AS642" s="74"/>
      <c r="AT642" s="74"/>
      <c r="AU642" s="74"/>
      <c r="AV642" s="74"/>
      <c r="AW642" s="74"/>
      <c r="AX642" s="74"/>
      <c r="AY642" s="74"/>
      <c r="AZ642" s="74"/>
      <c r="BA642" s="74"/>
      <c r="BB642" s="74"/>
      <c r="BC642" s="74"/>
      <c r="BD642" s="74"/>
      <c r="BE642" s="74"/>
      <c r="BF642" s="74"/>
      <c r="BG642" s="74"/>
      <c r="BH642" s="74"/>
      <c r="BI642" s="74"/>
      <c r="BJ642" s="74"/>
      <c r="BK642" s="74"/>
      <c r="BL642" s="74"/>
      <c r="BM642" s="74"/>
      <c r="BN642" s="74"/>
      <c r="BO642" s="74"/>
      <c r="BP642" s="74"/>
      <c r="BQ642" s="74"/>
      <c r="BR642" s="74"/>
      <c r="BS642" s="74"/>
      <c r="BT642" s="74"/>
      <c r="BU642" s="74"/>
      <c r="BV642" s="74"/>
      <c r="BW642" s="74"/>
      <c r="BX642" s="74"/>
      <c r="BY642" s="74"/>
      <c r="BZ642" s="74"/>
      <c r="CA642" s="74"/>
      <c r="CB642" s="74"/>
      <c r="CC642" s="74"/>
      <c r="CD642" s="74"/>
      <c r="CE642" s="74"/>
      <c r="CF642" s="74"/>
      <c r="CG642" s="74"/>
      <c r="CH642" s="74"/>
      <c r="CI642" s="74"/>
      <c r="CJ642" s="74"/>
      <c r="CK642" s="74"/>
      <c r="CL642" s="74"/>
      <c r="CM642" s="74"/>
      <c r="CN642" s="74"/>
      <c r="CO642" s="74"/>
      <c r="CP642" s="74"/>
      <c r="CQ642" s="74"/>
      <c r="CR642" s="74"/>
      <c r="CS642" s="74"/>
      <c r="CT642" s="74"/>
      <c r="CU642" s="74"/>
      <c r="CV642" s="74"/>
      <c r="CW642" s="74"/>
      <c r="CX642" s="74"/>
      <c r="CY642" s="74"/>
      <c r="CZ642" s="74"/>
      <c r="DA642" s="74"/>
      <c r="DB642" s="74"/>
      <c r="DC642" s="74"/>
    </row>
    <row r="643" spans="15:107" customFormat="1" x14ac:dyDescent="0.35">
      <c r="O643" s="76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  <c r="AS643" s="74"/>
      <c r="AT643" s="74"/>
      <c r="AU643" s="74"/>
      <c r="AV643" s="74"/>
      <c r="AW643" s="74"/>
      <c r="AX643" s="74"/>
      <c r="AY643" s="74"/>
      <c r="AZ643" s="74"/>
      <c r="BA643" s="74"/>
      <c r="BB643" s="74"/>
      <c r="BC643" s="74"/>
      <c r="BD643" s="74"/>
      <c r="BE643" s="74"/>
      <c r="BF643" s="74"/>
      <c r="BG643" s="74"/>
      <c r="BH643" s="74"/>
      <c r="BI643" s="74"/>
      <c r="BJ643" s="74"/>
      <c r="BK643" s="74"/>
      <c r="BL643" s="74"/>
      <c r="BM643" s="74"/>
      <c r="BN643" s="74"/>
      <c r="BO643" s="74"/>
      <c r="BP643" s="74"/>
      <c r="BQ643" s="74"/>
      <c r="BR643" s="74"/>
      <c r="BS643" s="74"/>
      <c r="BT643" s="74"/>
      <c r="BU643" s="74"/>
      <c r="BV643" s="74"/>
      <c r="BW643" s="74"/>
      <c r="BX643" s="74"/>
      <c r="BY643" s="74"/>
      <c r="BZ643" s="74"/>
      <c r="CA643" s="74"/>
      <c r="CB643" s="74"/>
      <c r="CC643" s="74"/>
      <c r="CD643" s="74"/>
      <c r="CE643" s="74"/>
      <c r="CF643" s="74"/>
      <c r="CG643" s="74"/>
      <c r="CH643" s="74"/>
      <c r="CI643" s="74"/>
      <c r="CJ643" s="74"/>
      <c r="CK643" s="74"/>
      <c r="CL643" s="74"/>
      <c r="CM643" s="74"/>
      <c r="CN643" s="74"/>
      <c r="CO643" s="74"/>
      <c r="CP643" s="74"/>
      <c r="CQ643" s="74"/>
      <c r="CR643" s="74"/>
      <c r="CS643" s="74"/>
      <c r="CT643" s="74"/>
      <c r="CU643" s="74"/>
      <c r="CV643" s="74"/>
      <c r="CW643" s="74"/>
      <c r="CX643" s="74"/>
      <c r="CY643" s="74"/>
      <c r="CZ643" s="74"/>
      <c r="DA643" s="74"/>
      <c r="DB643" s="74"/>
      <c r="DC643" s="74"/>
    </row>
    <row r="644" spans="15:107" customFormat="1" x14ac:dyDescent="0.35">
      <c r="O644" s="76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  <c r="AS644" s="74"/>
      <c r="AT644" s="74"/>
      <c r="AU644" s="74"/>
      <c r="AV644" s="74"/>
      <c r="AW644" s="74"/>
      <c r="AX644" s="74"/>
      <c r="AY644" s="74"/>
      <c r="AZ644" s="74"/>
      <c r="BA644" s="74"/>
      <c r="BB644" s="74"/>
      <c r="BC644" s="74"/>
      <c r="BD644" s="74"/>
      <c r="BE644" s="74"/>
      <c r="BF644" s="74"/>
      <c r="BG644" s="74"/>
      <c r="BH644" s="74"/>
      <c r="BI644" s="74"/>
      <c r="BJ644" s="74"/>
      <c r="BK644" s="74"/>
      <c r="BL644" s="74"/>
      <c r="BM644" s="74"/>
      <c r="BN644" s="74"/>
      <c r="BO644" s="74"/>
      <c r="BP644" s="74"/>
      <c r="BQ644" s="74"/>
      <c r="BR644" s="74"/>
      <c r="BS644" s="74"/>
      <c r="BT644" s="74"/>
      <c r="BU644" s="74"/>
      <c r="BV644" s="74"/>
      <c r="BW644" s="74"/>
      <c r="BX644" s="74"/>
      <c r="BY644" s="74"/>
      <c r="BZ644" s="74"/>
      <c r="CA644" s="74"/>
      <c r="CB644" s="74"/>
      <c r="CC644" s="74"/>
      <c r="CD644" s="74"/>
      <c r="CE644" s="74"/>
      <c r="CF644" s="74"/>
      <c r="CG644" s="74"/>
      <c r="CH644" s="74"/>
      <c r="CI644" s="74"/>
      <c r="CJ644" s="74"/>
      <c r="CK644" s="74"/>
      <c r="CL644" s="74"/>
      <c r="CM644" s="74"/>
      <c r="CN644" s="74"/>
      <c r="CO644" s="74"/>
      <c r="CP644" s="74"/>
      <c r="CQ644" s="74"/>
      <c r="CR644" s="74"/>
      <c r="CS644" s="74"/>
      <c r="CT644" s="74"/>
      <c r="CU644" s="74"/>
      <c r="CV644" s="74"/>
      <c r="CW644" s="74"/>
      <c r="CX644" s="74"/>
      <c r="CY644" s="74"/>
      <c r="CZ644" s="74"/>
      <c r="DA644" s="74"/>
      <c r="DB644" s="74"/>
      <c r="DC644" s="74"/>
    </row>
    <row r="645" spans="15:107" customFormat="1" x14ac:dyDescent="0.35">
      <c r="O645" s="76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74"/>
      <c r="AT645" s="74"/>
      <c r="AU645" s="74"/>
      <c r="AV645" s="74"/>
      <c r="AW645" s="74"/>
      <c r="AX645" s="74"/>
      <c r="AY645" s="74"/>
      <c r="AZ645" s="74"/>
      <c r="BA645" s="74"/>
      <c r="BB645" s="74"/>
      <c r="BC645" s="74"/>
      <c r="BD645" s="74"/>
      <c r="BE645" s="74"/>
      <c r="BF645" s="74"/>
      <c r="BG645" s="74"/>
      <c r="BH645" s="74"/>
      <c r="BI645" s="74"/>
      <c r="BJ645" s="74"/>
      <c r="BK645" s="74"/>
      <c r="BL645" s="74"/>
      <c r="BM645" s="74"/>
      <c r="BN645" s="74"/>
      <c r="BO645" s="74"/>
      <c r="BP645" s="74"/>
      <c r="BQ645" s="74"/>
      <c r="BR645" s="74"/>
      <c r="BS645" s="74"/>
      <c r="BT645" s="74"/>
      <c r="BU645" s="74"/>
      <c r="BV645" s="74"/>
      <c r="BW645" s="74"/>
      <c r="BX645" s="74"/>
      <c r="BY645" s="74"/>
      <c r="BZ645" s="74"/>
      <c r="CA645" s="74"/>
      <c r="CB645" s="74"/>
      <c r="CC645" s="74"/>
      <c r="CD645" s="74"/>
      <c r="CE645" s="74"/>
      <c r="CF645" s="74"/>
      <c r="CG645" s="74"/>
      <c r="CH645" s="74"/>
      <c r="CI645" s="74"/>
      <c r="CJ645" s="74"/>
      <c r="CK645" s="74"/>
      <c r="CL645" s="74"/>
      <c r="CM645" s="74"/>
      <c r="CN645" s="74"/>
      <c r="CO645" s="74"/>
      <c r="CP645" s="74"/>
      <c r="CQ645" s="74"/>
      <c r="CR645" s="74"/>
      <c r="CS645" s="74"/>
      <c r="CT645" s="74"/>
      <c r="CU645" s="74"/>
      <c r="CV645" s="74"/>
      <c r="CW645" s="74"/>
      <c r="CX645" s="74"/>
      <c r="CY645" s="74"/>
      <c r="CZ645" s="74"/>
      <c r="DA645" s="74"/>
      <c r="DB645" s="74"/>
      <c r="DC645" s="74"/>
    </row>
    <row r="646" spans="15:107" customFormat="1" x14ac:dyDescent="0.35">
      <c r="O646" s="76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/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74"/>
      <c r="BJ646" s="74"/>
      <c r="BK646" s="74"/>
      <c r="BL646" s="74"/>
      <c r="BM646" s="74"/>
      <c r="BN646" s="74"/>
      <c r="BO646" s="74"/>
      <c r="BP646" s="74"/>
      <c r="BQ646" s="74"/>
      <c r="BR646" s="74"/>
      <c r="BS646" s="74"/>
      <c r="BT646" s="74"/>
      <c r="BU646" s="74"/>
      <c r="BV646" s="74"/>
      <c r="BW646" s="74"/>
      <c r="BX646" s="74"/>
      <c r="BY646" s="74"/>
      <c r="BZ646" s="74"/>
      <c r="CA646" s="74"/>
      <c r="CB646" s="74"/>
      <c r="CC646" s="74"/>
      <c r="CD646" s="74"/>
      <c r="CE646" s="74"/>
      <c r="CF646" s="74"/>
      <c r="CG646" s="74"/>
      <c r="CH646" s="74"/>
      <c r="CI646" s="74"/>
      <c r="CJ646" s="74"/>
      <c r="CK646" s="74"/>
      <c r="CL646" s="74"/>
      <c r="CM646" s="74"/>
      <c r="CN646" s="74"/>
      <c r="CO646" s="74"/>
      <c r="CP646" s="74"/>
      <c r="CQ646" s="74"/>
      <c r="CR646" s="74"/>
      <c r="CS646" s="74"/>
      <c r="CT646" s="74"/>
      <c r="CU646" s="74"/>
      <c r="CV646" s="74"/>
      <c r="CW646" s="74"/>
      <c r="CX646" s="74"/>
      <c r="CY646" s="74"/>
      <c r="CZ646" s="74"/>
      <c r="DA646" s="74"/>
      <c r="DB646" s="74"/>
      <c r="DC646" s="74"/>
    </row>
    <row r="647" spans="15:107" customFormat="1" x14ac:dyDescent="0.35">
      <c r="O647" s="76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74"/>
      <c r="BJ647" s="74"/>
      <c r="BK647" s="74"/>
      <c r="BL647" s="74"/>
      <c r="BM647" s="74"/>
      <c r="BN647" s="74"/>
      <c r="BO647" s="74"/>
      <c r="BP647" s="74"/>
      <c r="BQ647" s="74"/>
      <c r="BR647" s="74"/>
      <c r="BS647" s="74"/>
      <c r="BT647" s="74"/>
      <c r="BU647" s="74"/>
      <c r="BV647" s="74"/>
      <c r="BW647" s="74"/>
      <c r="BX647" s="74"/>
      <c r="BY647" s="74"/>
      <c r="BZ647" s="74"/>
      <c r="CA647" s="74"/>
      <c r="CB647" s="74"/>
      <c r="CC647" s="74"/>
      <c r="CD647" s="74"/>
      <c r="CE647" s="74"/>
      <c r="CF647" s="74"/>
      <c r="CG647" s="74"/>
      <c r="CH647" s="74"/>
      <c r="CI647" s="74"/>
      <c r="CJ647" s="74"/>
      <c r="CK647" s="74"/>
      <c r="CL647" s="74"/>
      <c r="CM647" s="74"/>
      <c r="CN647" s="74"/>
      <c r="CO647" s="74"/>
      <c r="CP647" s="74"/>
      <c r="CQ647" s="74"/>
      <c r="CR647" s="74"/>
      <c r="CS647" s="74"/>
      <c r="CT647" s="74"/>
      <c r="CU647" s="74"/>
      <c r="CV647" s="74"/>
      <c r="CW647" s="74"/>
      <c r="CX647" s="74"/>
      <c r="CY647" s="74"/>
      <c r="CZ647" s="74"/>
      <c r="DA647" s="74"/>
      <c r="DB647" s="74"/>
      <c r="DC647" s="74"/>
    </row>
    <row r="648" spans="15:107" customFormat="1" x14ac:dyDescent="0.35">
      <c r="O648" s="76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  <c r="AS648" s="74"/>
      <c r="AT648" s="74"/>
      <c r="AU648" s="74"/>
      <c r="AV648" s="74"/>
      <c r="AW648" s="74"/>
      <c r="AX648" s="74"/>
      <c r="AY648" s="74"/>
      <c r="AZ648" s="74"/>
      <c r="BA648" s="74"/>
      <c r="BB648" s="74"/>
      <c r="BC648" s="74"/>
      <c r="BD648" s="74"/>
      <c r="BE648" s="74"/>
      <c r="BF648" s="74"/>
      <c r="BG648" s="74"/>
      <c r="BH648" s="74"/>
      <c r="BI648" s="74"/>
      <c r="BJ648" s="74"/>
      <c r="BK648" s="74"/>
      <c r="BL648" s="74"/>
      <c r="BM648" s="74"/>
      <c r="BN648" s="74"/>
      <c r="BO648" s="74"/>
      <c r="BP648" s="74"/>
      <c r="BQ648" s="74"/>
      <c r="BR648" s="74"/>
      <c r="BS648" s="74"/>
      <c r="BT648" s="74"/>
      <c r="BU648" s="74"/>
      <c r="BV648" s="74"/>
      <c r="BW648" s="74"/>
      <c r="BX648" s="74"/>
      <c r="BY648" s="74"/>
      <c r="BZ648" s="74"/>
      <c r="CA648" s="74"/>
      <c r="CB648" s="74"/>
      <c r="CC648" s="74"/>
      <c r="CD648" s="74"/>
      <c r="CE648" s="74"/>
      <c r="CF648" s="74"/>
      <c r="CG648" s="74"/>
      <c r="CH648" s="74"/>
      <c r="CI648" s="74"/>
      <c r="CJ648" s="74"/>
      <c r="CK648" s="74"/>
      <c r="CL648" s="74"/>
      <c r="CM648" s="74"/>
      <c r="CN648" s="74"/>
      <c r="CO648" s="74"/>
      <c r="CP648" s="74"/>
      <c r="CQ648" s="74"/>
      <c r="CR648" s="74"/>
      <c r="CS648" s="74"/>
      <c r="CT648" s="74"/>
      <c r="CU648" s="74"/>
      <c r="CV648" s="74"/>
      <c r="CW648" s="74"/>
      <c r="CX648" s="74"/>
      <c r="CY648" s="74"/>
      <c r="CZ648" s="74"/>
      <c r="DA648" s="74"/>
      <c r="DB648" s="74"/>
      <c r="DC648" s="74"/>
    </row>
    <row r="649" spans="15:107" customFormat="1" x14ac:dyDescent="0.35">
      <c r="O649" s="76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  <c r="AS649" s="74"/>
      <c r="AT649" s="74"/>
      <c r="AU649" s="74"/>
      <c r="AV649" s="74"/>
      <c r="AW649" s="74"/>
      <c r="AX649" s="74"/>
      <c r="AY649" s="74"/>
      <c r="AZ649" s="74"/>
      <c r="BA649" s="74"/>
      <c r="BB649" s="74"/>
      <c r="BC649" s="74"/>
      <c r="BD649" s="74"/>
      <c r="BE649" s="74"/>
      <c r="BF649" s="74"/>
      <c r="BG649" s="74"/>
      <c r="BH649" s="74"/>
      <c r="BI649" s="74"/>
      <c r="BJ649" s="74"/>
      <c r="BK649" s="74"/>
      <c r="BL649" s="74"/>
      <c r="BM649" s="74"/>
      <c r="BN649" s="74"/>
      <c r="BO649" s="74"/>
      <c r="BP649" s="74"/>
      <c r="BQ649" s="74"/>
      <c r="BR649" s="74"/>
      <c r="BS649" s="74"/>
      <c r="BT649" s="74"/>
      <c r="BU649" s="74"/>
      <c r="BV649" s="74"/>
      <c r="BW649" s="74"/>
      <c r="BX649" s="74"/>
      <c r="BY649" s="74"/>
      <c r="BZ649" s="74"/>
      <c r="CA649" s="74"/>
      <c r="CB649" s="74"/>
      <c r="CC649" s="74"/>
      <c r="CD649" s="74"/>
      <c r="CE649" s="74"/>
      <c r="CF649" s="74"/>
      <c r="CG649" s="74"/>
      <c r="CH649" s="74"/>
      <c r="CI649" s="74"/>
      <c r="CJ649" s="74"/>
      <c r="CK649" s="74"/>
      <c r="CL649" s="74"/>
      <c r="CM649" s="74"/>
      <c r="CN649" s="74"/>
      <c r="CO649" s="74"/>
      <c r="CP649" s="74"/>
      <c r="CQ649" s="74"/>
      <c r="CR649" s="74"/>
      <c r="CS649" s="74"/>
      <c r="CT649" s="74"/>
      <c r="CU649" s="74"/>
      <c r="CV649" s="74"/>
      <c r="CW649" s="74"/>
      <c r="CX649" s="74"/>
      <c r="CY649" s="74"/>
      <c r="CZ649" s="74"/>
      <c r="DA649" s="74"/>
      <c r="DB649" s="74"/>
      <c r="DC649" s="74"/>
    </row>
    <row r="650" spans="15:107" customFormat="1" x14ac:dyDescent="0.35">
      <c r="O650" s="76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74"/>
      <c r="BN650" s="74"/>
      <c r="BO650" s="74"/>
      <c r="BP650" s="74"/>
      <c r="BQ650" s="74"/>
      <c r="BR650" s="74"/>
      <c r="BS650" s="74"/>
      <c r="BT650" s="74"/>
      <c r="BU650" s="74"/>
      <c r="BV650" s="74"/>
      <c r="BW650" s="74"/>
      <c r="BX650" s="74"/>
      <c r="BY650" s="74"/>
      <c r="BZ650" s="74"/>
      <c r="CA650" s="74"/>
      <c r="CB650" s="74"/>
      <c r="CC650" s="74"/>
      <c r="CD650" s="74"/>
      <c r="CE650" s="74"/>
      <c r="CF650" s="74"/>
      <c r="CG650" s="74"/>
      <c r="CH650" s="74"/>
      <c r="CI650" s="74"/>
      <c r="CJ650" s="74"/>
      <c r="CK650" s="74"/>
      <c r="CL650" s="74"/>
      <c r="CM650" s="74"/>
      <c r="CN650" s="74"/>
      <c r="CO650" s="74"/>
      <c r="CP650" s="74"/>
      <c r="CQ650" s="74"/>
      <c r="CR650" s="74"/>
      <c r="CS650" s="74"/>
      <c r="CT650" s="74"/>
      <c r="CU650" s="74"/>
      <c r="CV650" s="74"/>
      <c r="CW650" s="74"/>
      <c r="CX650" s="74"/>
      <c r="CY650" s="74"/>
      <c r="CZ650" s="74"/>
      <c r="DA650" s="74"/>
      <c r="DB650" s="74"/>
      <c r="DC650" s="74"/>
    </row>
    <row r="651" spans="15:107" customFormat="1" x14ac:dyDescent="0.35">
      <c r="O651" s="76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74"/>
      <c r="BM651" s="74"/>
      <c r="BN651" s="74"/>
      <c r="BO651" s="74"/>
      <c r="BP651" s="74"/>
      <c r="BQ651" s="74"/>
      <c r="BR651" s="74"/>
      <c r="BS651" s="74"/>
      <c r="BT651" s="74"/>
      <c r="BU651" s="74"/>
      <c r="BV651" s="74"/>
      <c r="BW651" s="74"/>
      <c r="BX651" s="74"/>
      <c r="BY651" s="74"/>
      <c r="BZ651" s="74"/>
      <c r="CA651" s="74"/>
      <c r="CB651" s="74"/>
      <c r="CC651" s="74"/>
      <c r="CD651" s="74"/>
      <c r="CE651" s="74"/>
      <c r="CF651" s="74"/>
      <c r="CG651" s="74"/>
      <c r="CH651" s="74"/>
      <c r="CI651" s="74"/>
      <c r="CJ651" s="74"/>
      <c r="CK651" s="74"/>
      <c r="CL651" s="74"/>
      <c r="CM651" s="74"/>
      <c r="CN651" s="74"/>
      <c r="CO651" s="74"/>
      <c r="CP651" s="74"/>
      <c r="CQ651" s="74"/>
      <c r="CR651" s="74"/>
      <c r="CS651" s="74"/>
      <c r="CT651" s="74"/>
      <c r="CU651" s="74"/>
      <c r="CV651" s="74"/>
      <c r="CW651" s="74"/>
      <c r="CX651" s="74"/>
      <c r="CY651" s="74"/>
      <c r="CZ651" s="74"/>
      <c r="DA651" s="74"/>
      <c r="DB651" s="74"/>
      <c r="DC651" s="74"/>
    </row>
    <row r="652" spans="15:107" customFormat="1" x14ac:dyDescent="0.35">
      <c r="O652" s="76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74"/>
      <c r="BN652" s="74"/>
      <c r="BO652" s="74"/>
      <c r="BP652" s="74"/>
      <c r="BQ652" s="74"/>
      <c r="BR652" s="74"/>
      <c r="BS652" s="74"/>
      <c r="BT652" s="74"/>
      <c r="BU652" s="74"/>
      <c r="BV652" s="74"/>
      <c r="BW652" s="74"/>
      <c r="BX652" s="74"/>
      <c r="BY652" s="74"/>
      <c r="BZ652" s="74"/>
      <c r="CA652" s="74"/>
      <c r="CB652" s="74"/>
      <c r="CC652" s="74"/>
      <c r="CD652" s="74"/>
      <c r="CE652" s="74"/>
      <c r="CF652" s="74"/>
      <c r="CG652" s="74"/>
      <c r="CH652" s="74"/>
      <c r="CI652" s="74"/>
      <c r="CJ652" s="74"/>
      <c r="CK652" s="74"/>
      <c r="CL652" s="74"/>
      <c r="CM652" s="74"/>
      <c r="CN652" s="74"/>
      <c r="CO652" s="74"/>
      <c r="CP652" s="74"/>
      <c r="CQ652" s="74"/>
      <c r="CR652" s="74"/>
      <c r="CS652" s="74"/>
      <c r="CT652" s="74"/>
      <c r="CU652" s="74"/>
      <c r="CV652" s="74"/>
      <c r="CW652" s="74"/>
      <c r="CX652" s="74"/>
      <c r="CY652" s="74"/>
      <c r="CZ652" s="74"/>
      <c r="DA652" s="74"/>
      <c r="DB652" s="74"/>
      <c r="DC652" s="74"/>
    </row>
    <row r="653" spans="15:107" customFormat="1" x14ac:dyDescent="0.35">
      <c r="O653" s="76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74"/>
      <c r="BN653" s="74"/>
      <c r="BO653" s="74"/>
      <c r="BP653" s="74"/>
      <c r="BQ653" s="74"/>
      <c r="BR653" s="74"/>
      <c r="BS653" s="74"/>
      <c r="BT653" s="74"/>
      <c r="BU653" s="74"/>
      <c r="BV653" s="74"/>
      <c r="BW653" s="74"/>
      <c r="BX653" s="74"/>
      <c r="BY653" s="74"/>
      <c r="BZ653" s="74"/>
      <c r="CA653" s="74"/>
      <c r="CB653" s="74"/>
      <c r="CC653" s="74"/>
      <c r="CD653" s="74"/>
      <c r="CE653" s="74"/>
      <c r="CF653" s="74"/>
      <c r="CG653" s="74"/>
      <c r="CH653" s="74"/>
      <c r="CI653" s="74"/>
      <c r="CJ653" s="74"/>
      <c r="CK653" s="74"/>
      <c r="CL653" s="74"/>
      <c r="CM653" s="74"/>
      <c r="CN653" s="74"/>
      <c r="CO653" s="74"/>
      <c r="CP653" s="74"/>
      <c r="CQ653" s="74"/>
      <c r="CR653" s="74"/>
      <c r="CS653" s="74"/>
      <c r="CT653" s="74"/>
      <c r="CU653" s="74"/>
      <c r="CV653" s="74"/>
      <c r="CW653" s="74"/>
      <c r="CX653" s="74"/>
      <c r="CY653" s="74"/>
      <c r="CZ653" s="74"/>
      <c r="DA653" s="74"/>
      <c r="DB653" s="74"/>
      <c r="DC653" s="74"/>
    </row>
    <row r="654" spans="15:107" customFormat="1" x14ac:dyDescent="0.35">
      <c r="O654" s="76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74"/>
      <c r="BN654" s="74"/>
      <c r="BO654" s="74"/>
      <c r="BP654" s="74"/>
      <c r="BQ654" s="74"/>
      <c r="BR654" s="74"/>
      <c r="BS654" s="74"/>
      <c r="BT654" s="74"/>
      <c r="BU654" s="74"/>
      <c r="BV654" s="74"/>
      <c r="BW654" s="74"/>
      <c r="BX654" s="74"/>
      <c r="BY654" s="74"/>
      <c r="BZ654" s="74"/>
      <c r="CA654" s="74"/>
      <c r="CB654" s="74"/>
      <c r="CC654" s="74"/>
      <c r="CD654" s="74"/>
      <c r="CE654" s="74"/>
      <c r="CF654" s="74"/>
      <c r="CG654" s="74"/>
      <c r="CH654" s="74"/>
      <c r="CI654" s="74"/>
      <c r="CJ654" s="74"/>
      <c r="CK654" s="74"/>
      <c r="CL654" s="74"/>
      <c r="CM654" s="74"/>
      <c r="CN654" s="74"/>
      <c r="CO654" s="74"/>
      <c r="CP654" s="74"/>
      <c r="CQ654" s="74"/>
      <c r="CR654" s="74"/>
      <c r="CS654" s="74"/>
      <c r="CT654" s="74"/>
      <c r="CU654" s="74"/>
      <c r="CV654" s="74"/>
      <c r="CW654" s="74"/>
      <c r="CX654" s="74"/>
      <c r="CY654" s="74"/>
      <c r="CZ654" s="74"/>
      <c r="DA654" s="74"/>
      <c r="DB654" s="74"/>
      <c r="DC654" s="74"/>
    </row>
    <row r="655" spans="15:107" customFormat="1" x14ac:dyDescent="0.35">
      <c r="O655" s="76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74"/>
      <c r="BN655" s="74"/>
      <c r="BO655" s="74"/>
      <c r="BP655" s="74"/>
      <c r="BQ655" s="74"/>
      <c r="BR655" s="74"/>
      <c r="BS655" s="74"/>
      <c r="BT655" s="74"/>
      <c r="BU655" s="74"/>
      <c r="BV655" s="74"/>
      <c r="BW655" s="74"/>
      <c r="BX655" s="74"/>
      <c r="BY655" s="74"/>
      <c r="BZ655" s="74"/>
      <c r="CA655" s="74"/>
      <c r="CB655" s="74"/>
      <c r="CC655" s="74"/>
      <c r="CD655" s="74"/>
      <c r="CE655" s="74"/>
      <c r="CF655" s="74"/>
      <c r="CG655" s="74"/>
      <c r="CH655" s="74"/>
      <c r="CI655" s="74"/>
      <c r="CJ655" s="74"/>
      <c r="CK655" s="74"/>
      <c r="CL655" s="74"/>
      <c r="CM655" s="74"/>
      <c r="CN655" s="74"/>
      <c r="CO655" s="74"/>
      <c r="CP655" s="74"/>
      <c r="CQ655" s="74"/>
      <c r="CR655" s="74"/>
      <c r="CS655" s="74"/>
      <c r="CT655" s="74"/>
      <c r="CU655" s="74"/>
      <c r="CV655" s="74"/>
      <c r="CW655" s="74"/>
      <c r="CX655" s="74"/>
      <c r="CY655" s="74"/>
      <c r="CZ655" s="74"/>
      <c r="DA655" s="74"/>
      <c r="DB655" s="74"/>
      <c r="DC655" s="74"/>
    </row>
    <row r="656" spans="15:107" customFormat="1" x14ac:dyDescent="0.35">
      <c r="O656" s="76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74"/>
      <c r="BN656" s="74"/>
      <c r="BO656" s="74"/>
      <c r="BP656" s="74"/>
      <c r="BQ656" s="74"/>
      <c r="BR656" s="74"/>
      <c r="BS656" s="74"/>
      <c r="BT656" s="74"/>
      <c r="BU656" s="74"/>
      <c r="BV656" s="74"/>
      <c r="BW656" s="74"/>
      <c r="BX656" s="74"/>
      <c r="BY656" s="74"/>
      <c r="BZ656" s="74"/>
      <c r="CA656" s="74"/>
      <c r="CB656" s="74"/>
      <c r="CC656" s="74"/>
      <c r="CD656" s="74"/>
      <c r="CE656" s="74"/>
      <c r="CF656" s="74"/>
      <c r="CG656" s="74"/>
      <c r="CH656" s="74"/>
      <c r="CI656" s="74"/>
      <c r="CJ656" s="74"/>
      <c r="CK656" s="74"/>
      <c r="CL656" s="74"/>
      <c r="CM656" s="74"/>
      <c r="CN656" s="74"/>
      <c r="CO656" s="74"/>
      <c r="CP656" s="74"/>
      <c r="CQ656" s="74"/>
      <c r="CR656" s="74"/>
      <c r="CS656" s="74"/>
      <c r="CT656" s="74"/>
      <c r="CU656" s="74"/>
      <c r="CV656" s="74"/>
      <c r="CW656" s="74"/>
      <c r="CX656" s="74"/>
      <c r="CY656" s="74"/>
      <c r="CZ656" s="74"/>
      <c r="DA656" s="74"/>
      <c r="DB656" s="74"/>
      <c r="DC656" s="74"/>
    </row>
    <row r="657" spans="15:107" customFormat="1" x14ac:dyDescent="0.35">
      <c r="O657" s="76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74"/>
      <c r="BN657" s="74"/>
      <c r="BO657" s="74"/>
      <c r="BP657" s="74"/>
      <c r="BQ657" s="74"/>
      <c r="BR657" s="74"/>
      <c r="BS657" s="74"/>
      <c r="BT657" s="74"/>
      <c r="BU657" s="74"/>
      <c r="BV657" s="74"/>
      <c r="BW657" s="74"/>
      <c r="BX657" s="74"/>
      <c r="BY657" s="74"/>
      <c r="BZ657" s="74"/>
      <c r="CA657" s="74"/>
      <c r="CB657" s="74"/>
      <c r="CC657" s="74"/>
      <c r="CD657" s="74"/>
      <c r="CE657" s="74"/>
      <c r="CF657" s="74"/>
      <c r="CG657" s="74"/>
      <c r="CH657" s="74"/>
      <c r="CI657" s="74"/>
      <c r="CJ657" s="74"/>
      <c r="CK657" s="74"/>
      <c r="CL657" s="74"/>
      <c r="CM657" s="74"/>
      <c r="CN657" s="74"/>
      <c r="CO657" s="74"/>
      <c r="CP657" s="74"/>
      <c r="CQ657" s="74"/>
      <c r="CR657" s="74"/>
      <c r="CS657" s="74"/>
      <c r="CT657" s="74"/>
      <c r="CU657" s="74"/>
      <c r="CV657" s="74"/>
      <c r="CW657" s="74"/>
      <c r="CX657" s="74"/>
      <c r="CY657" s="74"/>
      <c r="CZ657" s="74"/>
      <c r="DA657" s="74"/>
      <c r="DB657" s="74"/>
      <c r="DC657" s="74"/>
    </row>
    <row r="658" spans="15:107" customFormat="1" x14ac:dyDescent="0.35">
      <c r="O658" s="76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74"/>
      <c r="BN658" s="74"/>
      <c r="BO658" s="74"/>
      <c r="BP658" s="74"/>
      <c r="BQ658" s="74"/>
      <c r="BR658" s="74"/>
      <c r="BS658" s="74"/>
      <c r="BT658" s="74"/>
      <c r="BU658" s="74"/>
      <c r="BV658" s="74"/>
      <c r="BW658" s="74"/>
      <c r="BX658" s="74"/>
      <c r="BY658" s="74"/>
      <c r="BZ658" s="74"/>
      <c r="CA658" s="74"/>
      <c r="CB658" s="74"/>
      <c r="CC658" s="74"/>
      <c r="CD658" s="74"/>
      <c r="CE658" s="74"/>
      <c r="CF658" s="74"/>
      <c r="CG658" s="74"/>
      <c r="CH658" s="74"/>
      <c r="CI658" s="74"/>
      <c r="CJ658" s="74"/>
      <c r="CK658" s="74"/>
      <c r="CL658" s="74"/>
      <c r="CM658" s="74"/>
      <c r="CN658" s="74"/>
      <c r="CO658" s="74"/>
      <c r="CP658" s="74"/>
      <c r="CQ658" s="74"/>
      <c r="CR658" s="74"/>
      <c r="CS658" s="74"/>
      <c r="CT658" s="74"/>
      <c r="CU658" s="74"/>
      <c r="CV658" s="74"/>
      <c r="CW658" s="74"/>
      <c r="CX658" s="74"/>
      <c r="CY658" s="74"/>
      <c r="CZ658" s="74"/>
      <c r="DA658" s="74"/>
      <c r="DB658" s="74"/>
      <c r="DC658" s="74"/>
    </row>
    <row r="659" spans="15:107" customFormat="1" x14ac:dyDescent="0.35">
      <c r="O659" s="76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74"/>
      <c r="BN659" s="74"/>
      <c r="BO659" s="74"/>
      <c r="BP659" s="74"/>
      <c r="BQ659" s="74"/>
      <c r="BR659" s="74"/>
      <c r="BS659" s="74"/>
      <c r="BT659" s="74"/>
      <c r="BU659" s="74"/>
      <c r="BV659" s="74"/>
      <c r="BW659" s="74"/>
      <c r="BX659" s="74"/>
      <c r="BY659" s="74"/>
      <c r="BZ659" s="74"/>
      <c r="CA659" s="74"/>
      <c r="CB659" s="74"/>
      <c r="CC659" s="74"/>
      <c r="CD659" s="74"/>
      <c r="CE659" s="74"/>
      <c r="CF659" s="74"/>
      <c r="CG659" s="74"/>
      <c r="CH659" s="74"/>
      <c r="CI659" s="74"/>
      <c r="CJ659" s="74"/>
      <c r="CK659" s="74"/>
      <c r="CL659" s="74"/>
      <c r="CM659" s="74"/>
      <c r="CN659" s="74"/>
      <c r="CO659" s="74"/>
      <c r="CP659" s="74"/>
      <c r="CQ659" s="74"/>
      <c r="CR659" s="74"/>
      <c r="CS659" s="74"/>
      <c r="CT659" s="74"/>
      <c r="CU659" s="74"/>
      <c r="CV659" s="74"/>
      <c r="CW659" s="74"/>
      <c r="CX659" s="74"/>
      <c r="CY659" s="74"/>
      <c r="CZ659" s="74"/>
      <c r="DA659" s="74"/>
      <c r="DB659" s="74"/>
      <c r="DC659" s="74"/>
    </row>
    <row r="660" spans="15:107" customFormat="1" x14ac:dyDescent="0.35">
      <c r="O660" s="76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74"/>
      <c r="AT660" s="74"/>
      <c r="AU660" s="74"/>
      <c r="AV660" s="74"/>
      <c r="AW660" s="74"/>
      <c r="AX660" s="74"/>
      <c r="AY660" s="74"/>
      <c r="AZ660" s="74"/>
      <c r="BA660" s="74"/>
      <c r="BB660" s="74"/>
      <c r="BC660" s="74"/>
      <c r="BD660" s="74"/>
      <c r="BE660" s="74"/>
      <c r="BF660" s="74"/>
      <c r="BG660" s="74"/>
      <c r="BH660" s="74"/>
      <c r="BI660" s="74"/>
      <c r="BJ660" s="74"/>
      <c r="BK660" s="74"/>
      <c r="BL660" s="74"/>
      <c r="BM660" s="74"/>
      <c r="BN660" s="74"/>
      <c r="BO660" s="74"/>
      <c r="BP660" s="74"/>
      <c r="BQ660" s="74"/>
      <c r="BR660" s="74"/>
      <c r="BS660" s="74"/>
      <c r="BT660" s="74"/>
      <c r="BU660" s="74"/>
      <c r="BV660" s="74"/>
      <c r="BW660" s="74"/>
      <c r="BX660" s="74"/>
      <c r="BY660" s="74"/>
      <c r="BZ660" s="74"/>
      <c r="CA660" s="74"/>
      <c r="CB660" s="74"/>
      <c r="CC660" s="74"/>
      <c r="CD660" s="74"/>
      <c r="CE660" s="74"/>
      <c r="CF660" s="74"/>
      <c r="CG660" s="74"/>
      <c r="CH660" s="74"/>
      <c r="CI660" s="74"/>
      <c r="CJ660" s="74"/>
      <c r="CK660" s="74"/>
      <c r="CL660" s="74"/>
      <c r="CM660" s="74"/>
      <c r="CN660" s="74"/>
      <c r="CO660" s="74"/>
      <c r="CP660" s="74"/>
      <c r="CQ660" s="74"/>
      <c r="CR660" s="74"/>
      <c r="CS660" s="74"/>
      <c r="CT660" s="74"/>
      <c r="CU660" s="74"/>
      <c r="CV660" s="74"/>
      <c r="CW660" s="74"/>
      <c r="CX660" s="74"/>
      <c r="CY660" s="74"/>
      <c r="CZ660" s="74"/>
      <c r="DA660" s="74"/>
      <c r="DB660" s="74"/>
      <c r="DC660" s="74"/>
    </row>
    <row r="661" spans="15:107" customFormat="1" x14ac:dyDescent="0.35">
      <c r="O661" s="76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74"/>
      <c r="AT661" s="74"/>
      <c r="AU661" s="74"/>
      <c r="AV661" s="74"/>
      <c r="AW661" s="74"/>
      <c r="AX661" s="74"/>
      <c r="AY661" s="74"/>
      <c r="AZ661" s="74"/>
      <c r="BA661" s="74"/>
      <c r="BB661" s="74"/>
      <c r="BC661" s="74"/>
      <c r="BD661" s="74"/>
      <c r="BE661" s="74"/>
      <c r="BF661" s="74"/>
      <c r="BG661" s="74"/>
      <c r="BH661" s="74"/>
      <c r="BI661" s="74"/>
      <c r="BJ661" s="74"/>
      <c r="BK661" s="74"/>
      <c r="BL661" s="74"/>
      <c r="BM661" s="74"/>
      <c r="BN661" s="74"/>
      <c r="BO661" s="74"/>
      <c r="BP661" s="74"/>
      <c r="BQ661" s="74"/>
      <c r="BR661" s="74"/>
      <c r="BS661" s="74"/>
      <c r="BT661" s="74"/>
      <c r="BU661" s="74"/>
      <c r="BV661" s="74"/>
      <c r="BW661" s="74"/>
      <c r="BX661" s="74"/>
      <c r="BY661" s="74"/>
      <c r="BZ661" s="74"/>
      <c r="CA661" s="74"/>
      <c r="CB661" s="74"/>
      <c r="CC661" s="74"/>
      <c r="CD661" s="74"/>
      <c r="CE661" s="74"/>
      <c r="CF661" s="74"/>
      <c r="CG661" s="74"/>
      <c r="CH661" s="74"/>
      <c r="CI661" s="74"/>
      <c r="CJ661" s="74"/>
      <c r="CK661" s="74"/>
      <c r="CL661" s="74"/>
      <c r="CM661" s="74"/>
      <c r="CN661" s="74"/>
      <c r="CO661" s="74"/>
      <c r="CP661" s="74"/>
      <c r="CQ661" s="74"/>
      <c r="CR661" s="74"/>
      <c r="CS661" s="74"/>
      <c r="CT661" s="74"/>
      <c r="CU661" s="74"/>
      <c r="CV661" s="74"/>
      <c r="CW661" s="74"/>
      <c r="CX661" s="74"/>
      <c r="CY661" s="74"/>
      <c r="CZ661" s="74"/>
      <c r="DA661" s="74"/>
      <c r="DB661" s="74"/>
      <c r="DC661" s="74"/>
    </row>
    <row r="662" spans="15:107" customFormat="1" x14ac:dyDescent="0.35">
      <c r="O662" s="76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  <c r="AS662" s="74"/>
      <c r="AT662" s="74"/>
      <c r="AU662" s="74"/>
      <c r="AV662" s="74"/>
      <c r="AW662" s="74"/>
      <c r="AX662" s="74"/>
      <c r="AY662" s="74"/>
      <c r="AZ662" s="74"/>
      <c r="BA662" s="74"/>
      <c r="BB662" s="74"/>
      <c r="BC662" s="74"/>
      <c r="BD662" s="74"/>
      <c r="BE662" s="74"/>
      <c r="BF662" s="74"/>
      <c r="BG662" s="74"/>
      <c r="BH662" s="74"/>
      <c r="BI662" s="74"/>
      <c r="BJ662" s="74"/>
      <c r="BK662" s="74"/>
      <c r="BL662" s="74"/>
      <c r="BM662" s="74"/>
      <c r="BN662" s="74"/>
      <c r="BO662" s="74"/>
      <c r="BP662" s="74"/>
      <c r="BQ662" s="74"/>
      <c r="BR662" s="74"/>
      <c r="BS662" s="74"/>
      <c r="BT662" s="74"/>
      <c r="BU662" s="74"/>
      <c r="BV662" s="74"/>
      <c r="BW662" s="74"/>
      <c r="BX662" s="74"/>
      <c r="BY662" s="74"/>
      <c r="BZ662" s="74"/>
      <c r="CA662" s="74"/>
      <c r="CB662" s="74"/>
      <c r="CC662" s="74"/>
      <c r="CD662" s="74"/>
      <c r="CE662" s="74"/>
      <c r="CF662" s="74"/>
      <c r="CG662" s="74"/>
      <c r="CH662" s="74"/>
      <c r="CI662" s="74"/>
      <c r="CJ662" s="74"/>
      <c r="CK662" s="74"/>
      <c r="CL662" s="74"/>
      <c r="CM662" s="74"/>
      <c r="CN662" s="74"/>
      <c r="CO662" s="74"/>
      <c r="CP662" s="74"/>
      <c r="CQ662" s="74"/>
      <c r="CR662" s="74"/>
      <c r="CS662" s="74"/>
      <c r="CT662" s="74"/>
      <c r="CU662" s="74"/>
      <c r="CV662" s="74"/>
      <c r="CW662" s="74"/>
      <c r="CX662" s="74"/>
      <c r="CY662" s="74"/>
      <c r="CZ662" s="74"/>
      <c r="DA662" s="74"/>
      <c r="DB662" s="74"/>
      <c r="DC662" s="74"/>
    </row>
    <row r="663" spans="15:107" customFormat="1" x14ac:dyDescent="0.35">
      <c r="O663" s="76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  <c r="AS663" s="74"/>
      <c r="AT663" s="74"/>
      <c r="AU663" s="74"/>
      <c r="AV663" s="74"/>
      <c r="AW663" s="74"/>
      <c r="AX663" s="74"/>
      <c r="AY663" s="74"/>
      <c r="AZ663" s="74"/>
      <c r="BA663" s="74"/>
      <c r="BB663" s="74"/>
      <c r="BC663" s="74"/>
      <c r="BD663" s="74"/>
      <c r="BE663" s="74"/>
      <c r="BF663" s="74"/>
      <c r="BG663" s="74"/>
      <c r="BH663" s="74"/>
      <c r="BI663" s="74"/>
      <c r="BJ663" s="74"/>
      <c r="BK663" s="74"/>
      <c r="BL663" s="74"/>
      <c r="BM663" s="74"/>
      <c r="BN663" s="74"/>
      <c r="BO663" s="74"/>
      <c r="BP663" s="74"/>
      <c r="BQ663" s="74"/>
      <c r="BR663" s="74"/>
      <c r="BS663" s="74"/>
      <c r="BT663" s="74"/>
      <c r="BU663" s="74"/>
      <c r="BV663" s="74"/>
      <c r="BW663" s="74"/>
      <c r="BX663" s="74"/>
      <c r="BY663" s="74"/>
      <c r="BZ663" s="74"/>
      <c r="CA663" s="74"/>
      <c r="CB663" s="74"/>
      <c r="CC663" s="74"/>
      <c r="CD663" s="74"/>
      <c r="CE663" s="74"/>
      <c r="CF663" s="74"/>
      <c r="CG663" s="74"/>
      <c r="CH663" s="74"/>
      <c r="CI663" s="74"/>
      <c r="CJ663" s="74"/>
      <c r="CK663" s="74"/>
      <c r="CL663" s="74"/>
      <c r="CM663" s="74"/>
      <c r="CN663" s="74"/>
      <c r="CO663" s="74"/>
      <c r="CP663" s="74"/>
      <c r="CQ663" s="74"/>
      <c r="CR663" s="74"/>
      <c r="CS663" s="74"/>
      <c r="CT663" s="74"/>
      <c r="CU663" s="74"/>
      <c r="CV663" s="74"/>
      <c r="CW663" s="74"/>
      <c r="CX663" s="74"/>
      <c r="CY663" s="74"/>
      <c r="CZ663" s="74"/>
      <c r="DA663" s="74"/>
      <c r="DB663" s="74"/>
      <c r="DC663" s="74"/>
    </row>
    <row r="664" spans="15:107" customFormat="1" x14ac:dyDescent="0.35">
      <c r="O664" s="76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74"/>
      <c r="AT664" s="74"/>
      <c r="AU664" s="74"/>
      <c r="AV664" s="74"/>
      <c r="AW664" s="74"/>
      <c r="AX664" s="74"/>
      <c r="AY664" s="74"/>
      <c r="AZ664" s="74"/>
      <c r="BA664" s="74"/>
      <c r="BB664" s="74"/>
      <c r="BC664" s="74"/>
      <c r="BD664" s="74"/>
      <c r="BE664" s="74"/>
      <c r="BF664" s="74"/>
      <c r="BG664" s="74"/>
      <c r="BH664" s="74"/>
      <c r="BI664" s="74"/>
      <c r="BJ664" s="74"/>
      <c r="BK664" s="74"/>
      <c r="BL664" s="74"/>
      <c r="BM664" s="74"/>
      <c r="BN664" s="74"/>
      <c r="BO664" s="74"/>
      <c r="BP664" s="74"/>
      <c r="BQ664" s="74"/>
      <c r="BR664" s="74"/>
      <c r="BS664" s="74"/>
      <c r="BT664" s="74"/>
      <c r="BU664" s="74"/>
      <c r="BV664" s="74"/>
      <c r="BW664" s="74"/>
      <c r="BX664" s="74"/>
      <c r="BY664" s="74"/>
      <c r="BZ664" s="74"/>
      <c r="CA664" s="74"/>
      <c r="CB664" s="74"/>
      <c r="CC664" s="74"/>
      <c r="CD664" s="74"/>
      <c r="CE664" s="74"/>
      <c r="CF664" s="74"/>
      <c r="CG664" s="74"/>
      <c r="CH664" s="74"/>
      <c r="CI664" s="74"/>
      <c r="CJ664" s="74"/>
      <c r="CK664" s="74"/>
      <c r="CL664" s="74"/>
      <c r="CM664" s="74"/>
      <c r="CN664" s="74"/>
      <c r="CO664" s="74"/>
      <c r="CP664" s="74"/>
      <c r="CQ664" s="74"/>
      <c r="CR664" s="74"/>
      <c r="CS664" s="74"/>
      <c r="CT664" s="74"/>
      <c r="CU664" s="74"/>
      <c r="CV664" s="74"/>
      <c r="CW664" s="74"/>
      <c r="CX664" s="74"/>
      <c r="CY664" s="74"/>
      <c r="CZ664" s="74"/>
      <c r="DA664" s="74"/>
      <c r="DB664" s="74"/>
      <c r="DC664" s="74"/>
    </row>
    <row r="665" spans="15:107" customFormat="1" x14ac:dyDescent="0.35">
      <c r="O665" s="76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  <c r="AX665" s="74"/>
      <c r="AY665" s="74"/>
      <c r="AZ665" s="74"/>
      <c r="BA665" s="74"/>
      <c r="BB665" s="74"/>
      <c r="BC665" s="74"/>
      <c r="BD665" s="74"/>
      <c r="BE665" s="74"/>
      <c r="BF665" s="74"/>
      <c r="BG665" s="74"/>
      <c r="BH665" s="74"/>
      <c r="BI665" s="74"/>
      <c r="BJ665" s="74"/>
      <c r="BK665" s="74"/>
      <c r="BL665" s="74"/>
      <c r="BM665" s="74"/>
      <c r="BN665" s="74"/>
      <c r="BO665" s="74"/>
      <c r="BP665" s="74"/>
      <c r="BQ665" s="74"/>
      <c r="BR665" s="74"/>
      <c r="BS665" s="74"/>
      <c r="BT665" s="74"/>
      <c r="BU665" s="74"/>
      <c r="BV665" s="74"/>
      <c r="BW665" s="74"/>
      <c r="BX665" s="74"/>
      <c r="BY665" s="74"/>
      <c r="BZ665" s="74"/>
      <c r="CA665" s="74"/>
      <c r="CB665" s="74"/>
      <c r="CC665" s="74"/>
      <c r="CD665" s="74"/>
      <c r="CE665" s="74"/>
      <c r="CF665" s="74"/>
      <c r="CG665" s="74"/>
      <c r="CH665" s="74"/>
      <c r="CI665" s="74"/>
      <c r="CJ665" s="74"/>
      <c r="CK665" s="74"/>
      <c r="CL665" s="74"/>
      <c r="CM665" s="74"/>
      <c r="CN665" s="74"/>
      <c r="CO665" s="74"/>
      <c r="CP665" s="74"/>
      <c r="CQ665" s="74"/>
      <c r="CR665" s="74"/>
      <c r="CS665" s="74"/>
      <c r="CT665" s="74"/>
      <c r="CU665" s="74"/>
      <c r="CV665" s="74"/>
      <c r="CW665" s="74"/>
      <c r="CX665" s="74"/>
      <c r="CY665" s="74"/>
      <c r="CZ665" s="74"/>
      <c r="DA665" s="74"/>
      <c r="DB665" s="74"/>
      <c r="DC665" s="74"/>
    </row>
    <row r="666" spans="15:107" customFormat="1" x14ac:dyDescent="0.35">
      <c r="O666" s="76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  <c r="AX666" s="74"/>
      <c r="AY666" s="74"/>
      <c r="AZ666" s="74"/>
      <c r="BA666" s="74"/>
      <c r="BB666" s="74"/>
      <c r="BC666" s="74"/>
      <c r="BD666" s="74"/>
      <c r="BE666" s="74"/>
      <c r="BF666" s="74"/>
      <c r="BG666" s="74"/>
      <c r="BH666" s="74"/>
      <c r="BI666" s="74"/>
      <c r="BJ666" s="74"/>
      <c r="BK666" s="74"/>
      <c r="BL666" s="74"/>
      <c r="BM666" s="74"/>
      <c r="BN666" s="74"/>
      <c r="BO666" s="74"/>
      <c r="BP666" s="74"/>
      <c r="BQ666" s="74"/>
      <c r="BR666" s="74"/>
      <c r="BS666" s="74"/>
      <c r="BT666" s="74"/>
      <c r="BU666" s="74"/>
      <c r="BV666" s="74"/>
      <c r="BW666" s="74"/>
      <c r="BX666" s="74"/>
      <c r="BY666" s="74"/>
      <c r="BZ666" s="74"/>
      <c r="CA666" s="74"/>
      <c r="CB666" s="74"/>
      <c r="CC666" s="74"/>
      <c r="CD666" s="74"/>
      <c r="CE666" s="74"/>
      <c r="CF666" s="74"/>
      <c r="CG666" s="74"/>
      <c r="CH666" s="74"/>
      <c r="CI666" s="74"/>
      <c r="CJ666" s="74"/>
      <c r="CK666" s="74"/>
      <c r="CL666" s="74"/>
      <c r="CM666" s="74"/>
      <c r="CN666" s="74"/>
      <c r="CO666" s="74"/>
      <c r="CP666" s="74"/>
      <c r="CQ666" s="74"/>
      <c r="CR666" s="74"/>
      <c r="CS666" s="74"/>
      <c r="CT666" s="74"/>
      <c r="CU666" s="74"/>
      <c r="CV666" s="74"/>
      <c r="CW666" s="74"/>
      <c r="CX666" s="74"/>
      <c r="CY666" s="74"/>
      <c r="CZ666" s="74"/>
      <c r="DA666" s="74"/>
      <c r="DB666" s="74"/>
      <c r="DC666" s="74"/>
    </row>
    <row r="667" spans="15:107" customFormat="1" x14ac:dyDescent="0.35">
      <c r="O667" s="76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74"/>
      <c r="AT667" s="74"/>
      <c r="AU667" s="74"/>
      <c r="AV667" s="74"/>
      <c r="AW667" s="74"/>
      <c r="AX667" s="74"/>
      <c r="AY667" s="74"/>
      <c r="AZ667" s="74"/>
      <c r="BA667" s="74"/>
      <c r="BB667" s="74"/>
      <c r="BC667" s="74"/>
      <c r="BD667" s="74"/>
      <c r="BE667" s="74"/>
      <c r="BF667" s="74"/>
      <c r="BG667" s="74"/>
      <c r="BH667" s="74"/>
      <c r="BI667" s="74"/>
      <c r="BJ667" s="74"/>
      <c r="BK667" s="74"/>
      <c r="BL667" s="74"/>
      <c r="BM667" s="74"/>
      <c r="BN667" s="74"/>
      <c r="BO667" s="74"/>
      <c r="BP667" s="74"/>
      <c r="BQ667" s="74"/>
      <c r="BR667" s="74"/>
      <c r="BS667" s="74"/>
      <c r="BT667" s="74"/>
      <c r="BU667" s="74"/>
      <c r="BV667" s="74"/>
      <c r="BW667" s="74"/>
      <c r="BX667" s="74"/>
      <c r="BY667" s="74"/>
      <c r="BZ667" s="74"/>
      <c r="CA667" s="74"/>
      <c r="CB667" s="74"/>
      <c r="CC667" s="74"/>
      <c r="CD667" s="74"/>
      <c r="CE667" s="74"/>
      <c r="CF667" s="74"/>
      <c r="CG667" s="74"/>
      <c r="CH667" s="74"/>
      <c r="CI667" s="74"/>
      <c r="CJ667" s="74"/>
      <c r="CK667" s="74"/>
      <c r="CL667" s="74"/>
      <c r="CM667" s="74"/>
      <c r="CN667" s="74"/>
      <c r="CO667" s="74"/>
      <c r="CP667" s="74"/>
      <c r="CQ667" s="74"/>
      <c r="CR667" s="74"/>
      <c r="CS667" s="74"/>
      <c r="CT667" s="74"/>
      <c r="CU667" s="74"/>
      <c r="CV667" s="74"/>
      <c r="CW667" s="74"/>
      <c r="CX667" s="74"/>
      <c r="CY667" s="74"/>
      <c r="CZ667" s="74"/>
      <c r="DA667" s="74"/>
      <c r="DB667" s="74"/>
      <c r="DC667" s="74"/>
    </row>
    <row r="668" spans="15:107" customFormat="1" x14ac:dyDescent="0.35">
      <c r="O668" s="76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  <c r="AX668" s="74"/>
      <c r="AY668" s="74"/>
      <c r="AZ668" s="74"/>
      <c r="BA668" s="74"/>
      <c r="BB668" s="74"/>
      <c r="BC668" s="74"/>
      <c r="BD668" s="74"/>
      <c r="BE668" s="74"/>
      <c r="BF668" s="74"/>
      <c r="BG668" s="74"/>
      <c r="BH668" s="74"/>
      <c r="BI668" s="74"/>
      <c r="BJ668" s="74"/>
      <c r="BK668" s="74"/>
      <c r="BL668" s="74"/>
      <c r="BM668" s="74"/>
      <c r="BN668" s="74"/>
      <c r="BO668" s="74"/>
      <c r="BP668" s="74"/>
      <c r="BQ668" s="74"/>
      <c r="BR668" s="74"/>
      <c r="BS668" s="74"/>
      <c r="BT668" s="74"/>
      <c r="BU668" s="74"/>
      <c r="BV668" s="74"/>
      <c r="BW668" s="74"/>
      <c r="BX668" s="74"/>
      <c r="BY668" s="74"/>
      <c r="BZ668" s="74"/>
      <c r="CA668" s="74"/>
      <c r="CB668" s="74"/>
      <c r="CC668" s="74"/>
      <c r="CD668" s="74"/>
      <c r="CE668" s="74"/>
      <c r="CF668" s="74"/>
      <c r="CG668" s="74"/>
      <c r="CH668" s="74"/>
      <c r="CI668" s="74"/>
      <c r="CJ668" s="74"/>
      <c r="CK668" s="74"/>
      <c r="CL668" s="74"/>
      <c r="CM668" s="74"/>
      <c r="CN668" s="74"/>
      <c r="CO668" s="74"/>
      <c r="CP668" s="74"/>
      <c r="CQ668" s="74"/>
      <c r="CR668" s="74"/>
      <c r="CS668" s="74"/>
      <c r="CT668" s="74"/>
      <c r="CU668" s="74"/>
      <c r="CV668" s="74"/>
      <c r="CW668" s="74"/>
      <c r="CX668" s="74"/>
      <c r="CY668" s="74"/>
      <c r="CZ668" s="74"/>
      <c r="DA668" s="74"/>
      <c r="DB668" s="74"/>
      <c r="DC668" s="74"/>
    </row>
    <row r="669" spans="15:107" customFormat="1" x14ac:dyDescent="0.35">
      <c r="O669" s="76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74"/>
      <c r="AT669" s="74"/>
      <c r="AU669" s="74"/>
      <c r="AV669" s="74"/>
      <c r="AW669" s="74"/>
      <c r="AX669" s="74"/>
      <c r="AY669" s="74"/>
      <c r="AZ669" s="74"/>
      <c r="BA669" s="74"/>
      <c r="BB669" s="74"/>
      <c r="BC669" s="74"/>
      <c r="BD669" s="74"/>
      <c r="BE669" s="74"/>
      <c r="BF669" s="74"/>
      <c r="BG669" s="74"/>
      <c r="BH669" s="74"/>
      <c r="BI669" s="74"/>
      <c r="BJ669" s="74"/>
      <c r="BK669" s="74"/>
      <c r="BL669" s="74"/>
      <c r="BM669" s="74"/>
      <c r="BN669" s="74"/>
      <c r="BO669" s="74"/>
      <c r="BP669" s="74"/>
      <c r="BQ669" s="74"/>
      <c r="BR669" s="74"/>
      <c r="BS669" s="74"/>
      <c r="BT669" s="74"/>
      <c r="BU669" s="74"/>
      <c r="BV669" s="74"/>
      <c r="BW669" s="74"/>
      <c r="BX669" s="74"/>
      <c r="BY669" s="74"/>
      <c r="BZ669" s="74"/>
      <c r="CA669" s="74"/>
      <c r="CB669" s="74"/>
      <c r="CC669" s="74"/>
      <c r="CD669" s="74"/>
      <c r="CE669" s="74"/>
      <c r="CF669" s="74"/>
      <c r="CG669" s="74"/>
      <c r="CH669" s="74"/>
      <c r="CI669" s="74"/>
      <c r="CJ669" s="74"/>
      <c r="CK669" s="74"/>
      <c r="CL669" s="74"/>
      <c r="CM669" s="74"/>
      <c r="CN669" s="74"/>
      <c r="CO669" s="74"/>
      <c r="CP669" s="74"/>
      <c r="CQ669" s="74"/>
      <c r="CR669" s="74"/>
      <c r="CS669" s="74"/>
      <c r="CT669" s="74"/>
      <c r="CU669" s="74"/>
      <c r="CV669" s="74"/>
      <c r="CW669" s="74"/>
      <c r="CX669" s="74"/>
      <c r="CY669" s="74"/>
      <c r="CZ669" s="74"/>
      <c r="DA669" s="74"/>
      <c r="DB669" s="74"/>
      <c r="DC669" s="74"/>
    </row>
    <row r="670" spans="15:107" customFormat="1" x14ac:dyDescent="0.35">
      <c r="O670" s="76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  <c r="AX670" s="74"/>
      <c r="AY670" s="74"/>
      <c r="AZ670" s="74"/>
      <c r="BA670" s="74"/>
      <c r="BB670" s="74"/>
      <c r="BC670" s="74"/>
      <c r="BD670" s="74"/>
      <c r="BE670" s="74"/>
      <c r="BF670" s="74"/>
      <c r="BG670" s="74"/>
      <c r="BH670" s="74"/>
      <c r="BI670" s="74"/>
      <c r="BJ670" s="74"/>
      <c r="BK670" s="74"/>
      <c r="BL670" s="74"/>
      <c r="BM670" s="74"/>
      <c r="BN670" s="74"/>
      <c r="BO670" s="74"/>
      <c r="BP670" s="74"/>
      <c r="BQ670" s="74"/>
      <c r="BR670" s="74"/>
      <c r="BS670" s="74"/>
      <c r="BT670" s="74"/>
      <c r="BU670" s="74"/>
      <c r="BV670" s="74"/>
      <c r="BW670" s="74"/>
      <c r="BX670" s="74"/>
      <c r="BY670" s="74"/>
      <c r="BZ670" s="74"/>
      <c r="CA670" s="74"/>
      <c r="CB670" s="74"/>
      <c r="CC670" s="74"/>
      <c r="CD670" s="74"/>
      <c r="CE670" s="74"/>
      <c r="CF670" s="74"/>
      <c r="CG670" s="74"/>
      <c r="CH670" s="74"/>
      <c r="CI670" s="74"/>
      <c r="CJ670" s="74"/>
      <c r="CK670" s="74"/>
      <c r="CL670" s="74"/>
      <c r="CM670" s="74"/>
      <c r="CN670" s="74"/>
      <c r="CO670" s="74"/>
      <c r="CP670" s="74"/>
      <c r="CQ670" s="74"/>
      <c r="CR670" s="74"/>
      <c r="CS670" s="74"/>
      <c r="CT670" s="74"/>
      <c r="CU670" s="74"/>
      <c r="CV670" s="74"/>
      <c r="CW670" s="74"/>
      <c r="CX670" s="74"/>
      <c r="CY670" s="74"/>
      <c r="CZ670" s="74"/>
      <c r="DA670" s="74"/>
      <c r="DB670" s="74"/>
      <c r="DC670" s="74"/>
    </row>
    <row r="671" spans="15:107" customFormat="1" x14ac:dyDescent="0.35">
      <c r="O671" s="76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  <c r="AX671" s="74"/>
      <c r="AY671" s="74"/>
      <c r="AZ671" s="74"/>
      <c r="BA671" s="74"/>
      <c r="BB671" s="74"/>
      <c r="BC671" s="74"/>
      <c r="BD671" s="74"/>
      <c r="BE671" s="74"/>
      <c r="BF671" s="74"/>
      <c r="BG671" s="74"/>
      <c r="BH671" s="74"/>
      <c r="BI671" s="74"/>
      <c r="BJ671" s="74"/>
      <c r="BK671" s="74"/>
      <c r="BL671" s="74"/>
      <c r="BM671" s="74"/>
      <c r="BN671" s="74"/>
      <c r="BO671" s="74"/>
      <c r="BP671" s="74"/>
      <c r="BQ671" s="74"/>
      <c r="BR671" s="74"/>
      <c r="BS671" s="74"/>
      <c r="BT671" s="74"/>
      <c r="BU671" s="74"/>
      <c r="BV671" s="74"/>
      <c r="BW671" s="74"/>
      <c r="BX671" s="74"/>
      <c r="BY671" s="74"/>
      <c r="BZ671" s="74"/>
      <c r="CA671" s="74"/>
      <c r="CB671" s="74"/>
      <c r="CC671" s="74"/>
      <c r="CD671" s="74"/>
      <c r="CE671" s="74"/>
      <c r="CF671" s="74"/>
      <c r="CG671" s="74"/>
      <c r="CH671" s="74"/>
      <c r="CI671" s="74"/>
      <c r="CJ671" s="74"/>
      <c r="CK671" s="74"/>
      <c r="CL671" s="74"/>
      <c r="CM671" s="74"/>
      <c r="CN671" s="74"/>
      <c r="CO671" s="74"/>
      <c r="CP671" s="74"/>
      <c r="CQ671" s="74"/>
      <c r="CR671" s="74"/>
      <c r="CS671" s="74"/>
      <c r="CT671" s="74"/>
      <c r="CU671" s="74"/>
      <c r="CV671" s="74"/>
      <c r="CW671" s="74"/>
      <c r="CX671" s="74"/>
      <c r="CY671" s="74"/>
      <c r="CZ671" s="74"/>
      <c r="DA671" s="74"/>
      <c r="DB671" s="74"/>
      <c r="DC671" s="74"/>
    </row>
    <row r="672" spans="15:107" customFormat="1" x14ac:dyDescent="0.35">
      <c r="O672" s="76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74"/>
      <c r="AT672" s="74"/>
      <c r="AU672" s="74"/>
      <c r="AV672" s="74"/>
      <c r="AW672" s="74"/>
      <c r="AX672" s="74"/>
      <c r="AY672" s="74"/>
      <c r="AZ672" s="74"/>
      <c r="BA672" s="74"/>
      <c r="BB672" s="74"/>
      <c r="BC672" s="74"/>
      <c r="BD672" s="74"/>
      <c r="BE672" s="74"/>
      <c r="BF672" s="74"/>
      <c r="BG672" s="74"/>
      <c r="BH672" s="74"/>
      <c r="BI672" s="74"/>
      <c r="BJ672" s="74"/>
      <c r="BK672" s="74"/>
      <c r="BL672" s="74"/>
      <c r="BM672" s="74"/>
      <c r="BN672" s="74"/>
      <c r="BO672" s="74"/>
      <c r="BP672" s="74"/>
      <c r="BQ672" s="74"/>
      <c r="BR672" s="74"/>
      <c r="BS672" s="74"/>
      <c r="BT672" s="74"/>
      <c r="BU672" s="74"/>
      <c r="BV672" s="74"/>
      <c r="BW672" s="74"/>
      <c r="BX672" s="74"/>
      <c r="BY672" s="74"/>
      <c r="BZ672" s="74"/>
      <c r="CA672" s="74"/>
      <c r="CB672" s="74"/>
      <c r="CC672" s="74"/>
      <c r="CD672" s="74"/>
      <c r="CE672" s="74"/>
      <c r="CF672" s="74"/>
      <c r="CG672" s="74"/>
      <c r="CH672" s="74"/>
      <c r="CI672" s="74"/>
      <c r="CJ672" s="74"/>
      <c r="CK672" s="74"/>
      <c r="CL672" s="74"/>
      <c r="CM672" s="74"/>
      <c r="CN672" s="74"/>
      <c r="CO672" s="74"/>
      <c r="CP672" s="74"/>
      <c r="CQ672" s="74"/>
      <c r="CR672" s="74"/>
      <c r="CS672" s="74"/>
      <c r="CT672" s="74"/>
      <c r="CU672" s="74"/>
      <c r="CV672" s="74"/>
      <c r="CW672" s="74"/>
      <c r="CX672" s="74"/>
      <c r="CY672" s="74"/>
      <c r="CZ672" s="74"/>
      <c r="DA672" s="74"/>
      <c r="DB672" s="74"/>
      <c r="DC672" s="74"/>
    </row>
    <row r="673" spans="15:107" customFormat="1" x14ac:dyDescent="0.35">
      <c r="O673" s="76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  <c r="AX673" s="74"/>
      <c r="AY673" s="74"/>
      <c r="AZ673" s="74"/>
      <c r="BA673" s="74"/>
      <c r="BB673" s="74"/>
      <c r="BC673" s="74"/>
      <c r="BD673" s="74"/>
      <c r="BE673" s="74"/>
      <c r="BF673" s="74"/>
      <c r="BG673" s="74"/>
      <c r="BH673" s="74"/>
      <c r="BI673" s="74"/>
      <c r="BJ673" s="74"/>
      <c r="BK673" s="74"/>
      <c r="BL673" s="74"/>
      <c r="BM673" s="74"/>
      <c r="BN673" s="74"/>
      <c r="BO673" s="74"/>
      <c r="BP673" s="74"/>
      <c r="BQ673" s="74"/>
      <c r="BR673" s="74"/>
      <c r="BS673" s="74"/>
      <c r="BT673" s="74"/>
      <c r="BU673" s="74"/>
      <c r="BV673" s="74"/>
      <c r="BW673" s="74"/>
      <c r="BX673" s="74"/>
      <c r="BY673" s="74"/>
      <c r="BZ673" s="74"/>
      <c r="CA673" s="74"/>
      <c r="CB673" s="74"/>
      <c r="CC673" s="74"/>
      <c r="CD673" s="74"/>
      <c r="CE673" s="74"/>
      <c r="CF673" s="74"/>
      <c r="CG673" s="74"/>
      <c r="CH673" s="74"/>
      <c r="CI673" s="74"/>
      <c r="CJ673" s="74"/>
      <c r="CK673" s="74"/>
      <c r="CL673" s="74"/>
      <c r="CM673" s="74"/>
      <c r="CN673" s="74"/>
      <c r="CO673" s="74"/>
      <c r="CP673" s="74"/>
      <c r="CQ673" s="74"/>
      <c r="CR673" s="74"/>
      <c r="CS673" s="74"/>
      <c r="CT673" s="74"/>
      <c r="CU673" s="74"/>
      <c r="CV673" s="74"/>
      <c r="CW673" s="74"/>
      <c r="CX673" s="74"/>
      <c r="CY673" s="74"/>
      <c r="CZ673" s="74"/>
      <c r="DA673" s="74"/>
      <c r="DB673" s="74"/>
      <c r="DC673" s="74"/>
    </row>
    <row r="674" spans="15:107" customFormat="1" x14ac:dyDescent="0.35">
      <c r="O674" s="76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74"/>
      <c r="AT674" s="74"/>
      <c r="AU674" s="74"/>
      <c r="AV674" s="74"/>
      <c r="AW674" s="74"/>
      <c r="AX674" s="74"/>
      <c r="AY674" s="74"/>
      <c r="AZ674" s="74"/>
      <c r="BA674" s="74"/>
      <c r="BB674" s="74"/>
      <c r="BC674" s="74"/>
      <c r="BD674" s="74"/>
      <c r="BE674" s="74"/>
      <c r="BF674" s="74"/>
      <c r="BG674" s="74"/>
      <c r="BH674" s="74"/>
      <c r="BI674" s="74"/>
      <c r="BJ674" s="74"/>
      <c r="BK674" s="74"/>
      <c r="BL674" s="74"/>
      <c r="BM674" s="74"/>
      <c r="BN674" s="74"/>
      <c r="BO674" s="74"/>
      <c r="BP674" s="74"/>
      <c r="BQ674" s="74"/>
      <c r="BR674" s="74"/>
      <c r="BS674" s="74"/>
      <c r="BT674" s="74"/>
      <c r="BU674" s="74"/>
      <c r="BV674" s="74"/>
      <c r="BW674" s="74"/>
      <c r="BX674" s="74"/>
      <c r="BY674" s="74"/>
      <c r="BZ674" s="74"/>
      <c r="CA674" s="74"/>
      <c r="CB674" s="74"/>
      <c r="CC674" s="74"/>
      <c r="CD674" s="74"/>
      <c r="CE674" s="74"/>
      <c r="CF674" s="74"/>
      <c r="CG674" s="74"/>
      <c r="CH674" s="74"/>
      <c r="CI674" s="74"/>
      <c r="CJ674" s="74"/>
      <c r="CK674" s="74"/>
      <c r="CL674" s="74"/>
      <c r="CM674" s="74"/>
      <c r="CN674" s="74"/>
      <c r="CO674" s="74"/>
      <c r="CP674" s="74"/>
      <c r="CQ674" s="74"/>
      <c r="CR674" s="74"/>
      <c r="CS674" s="74"/>
      <c r="CT674" s="74"/>
      <c r="CU674" s="74"/>
      <c r="CV674" s="74"/>
      <c r="CW674" s="74"/>
      <c r="CX674" s="74"/>
      <c r="CY674" s="74"/>
      <c r="CZ674" s="74"/>
      <c r="DA674" s="74"/>
      <c r="DB674" s="74"/>
      <c r="DC674" s="74"/>
    </row>
    <row r="675" spans="15:107" customFormat="1" x14ac:dyDescent="0.35">
      <c r="O675" s="76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  <c r="AX675" s="74"/>
      <c r="AY675" s="74"/>
      <c r="AZ675" s="74"/>
      <c r="BA675" s="74"/>
      <c r="BB675" s="74"/>
      <c r="BC675" s="74"/>
      <c r="BD675" s="74"/>
      <c r="BE675" s="74"/>
      <c r="BF675" s="74"/>
      <c r="BG675" s="74"/>
      <c r="BH675" s="74"/>
      <c r="BI675" s="74"/>
      <c r="BJ675" s="74"/>
      <c r="BK675" s="74"/>
      <c r="BL675" s="74"/>
      <c r="BM675" s="74"/>
      <c r="BN675" s="74"/>
      <c r="BO675" s="74"/>
      <c r="BP675" s="74"/>
      <c r="BQ675" s="74"/>
      <c r="BR675" s="74"/>
      <c r="BS675" s="74"/>
      <c r="BT675" s="74"/>
      <c r="BU675" s="74"/>
      <c r="BV675" s="74"/>
      <c r="BW675" s="74"/>
      <c r="BX675" s="74"/>
      <c r="BY675" s="74"/>
      <c r="BZ675" s="74"/>
      <c r="CA675" s="74"/>
      <c r="CB675" s="74"/>
      <c r="CC675" s="74"/>
      <c r="CD675" s="74"/>
      <c r="CE675" s="74"/>
      <c r="CF675" s="74"/>
      <c r="CG675" s="74"/>
      <c r="CH675" s="74"/>
      <c r="CI675" s="74"/>
      <c r="CJ675" s="74"/>
      <c r="CK675" s="74"/>
      <c r="CL675" s="74"/>
      <c r="CM675" s="74"/>
      <c r="CN675" s="74"/>
      <c r="CO675" s="74"/>
      <c r="CP675" s="74"/>
      <c r="CQ675" s="74"/>
      <c r="CR675" s="74"/>
      <c r="CS675" s="74"/>
      <c r="CT675" s="74"/>
      <c r="CU675" s="74"/>
      <c r="CV675" s="74"/>
      <c r="CW675" s="74"/>
      <c r="CX675" s="74"/>
      <c r="CY675" s="74"/>
      <c r="CZ675" s="74"/>
      <c r="DA675" s="74"/>
      <c r="DB675" s="74"/>
      <c r="DC675" s="74"/>
    </row>
    <row r="676" spans="15:107" customFormat="1" x14ac:dyDescent="0.35">
      <c r="O676" s="76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  <c r="AX676" s="74"/>
      <c r="AY676" s="74"/>
      <c r="AZ676" s="74"/>
      <c r="BA676" s="74"/>
      <c r="BB676" s="74"/>
      <c r="BC676" s="74"/>
      <c r="BD676" s="74"/>
      <c r="BE676" s="74"/>
      <c r="BF676" s="74"/>
      <c r="BG676" s="74"/>
      <c r="BH676" s="74"/>
      <c r="BI676" s="74"/>
      <c r="BJ676" s="74"/>
      <c r="BK676" s="74"/>
      <c r="BL676" s="74"/>
      <c r="BM676" s="74"/>
      <c r="BN676" s="74"/>
      <c r="BO676" s="74"/>
      <c r="BP676" s="74"/>
      <c r="BQ676" s="74"/>
      <c r="BR676" s="74"/>
      <c r="BS676" s="74"/>
      <c r="BT676" s="74"/>
      <c r="BU676" s="74"/>
      <c r="BV676" s="74"/>
      <c r="BW676" s="74"/>
      <c r="BX676" s="74"/>
      <c r="BY676" s="74"/>
      <c r="BZ676" s="74"/>
      <c r="CA676" s="74"/>
      <c r="CB676" s="74"/>
      <c r="CC676" s="74"/>
      <c r="CD676" s="74"/>
      <c r="CE676" s="74"/>
      <c r="CF676" s="74"/>
      <c r="CG676" s="74"/>
      <c r="CH676" s="74"/>
      <c r="CI676" s="74"/>
      <c r="CJ676" s="74"/>
      <c r="CK676" s="74"/>
      <c r="CL676" s="74"/>
      <c r="CM676" s="74"/>
      <c r="CN676" s="74"/>
      <c r="CO676" s="74"/>
      <c r="CP676" s="74"/>
      <c r="CQ676" s="74"/>
      <c r="CR676" s="74"/>
      <c r="CS676" s="74"/>
      <c r="CT676" s="74"/>
      <c r="CU676" s="74"/>
      <c r="CV676" s="74"/>
      <c r="CW676" s="74"/>
      <c r="CX676" s="74"/>
      <c r="CY676" s="74"/>
      <c r="CZ676" s="74"/>
      <c r="DA676" s="74"/>
      <c r="DB676" s="74"/>
      <c r="DC676" s="74"/>
    </row>
    <row r="677" spans="15:107" customFormat="1" x14ac:dyDescent="0.35">
      <c r="O677" s="76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74"/>
      <c r="AT677" s="74"/>
      <c r="AU677" s="74"/>
      <c r="AV677" s="74"/>
      <c r="AW677" s="74"/>
      <c r="AX677" s="74"/>
      <c r="AY677" s="74"/>
      <c r="AZ677" s="74"/>
      <c r="BA677" s="74"/>
      <c r="BB677" s="74"/>
      <c r="BC677" s="74"/>
      <c r="BD677" s="74"/>
      <c r="BE677" s="74"/>
      <c r="BF677" s="74"/>
      <c r="BG677" s="74"/>
      <c r="BH677" s="74"/>
      <c r="BI677" s="74"/>
      <c r="BJ677" s="74"/>
      <c r="BK677" s="74"/>
      <c r="BL677" s="74"/>
      <c r="BM677" s="74"/>
      <c r="BN677" s="74"/>
      <c r="BO677" s="74"/>
      <c r="BP677" s="74"/>
      <c r="BQ677" s="74"/>
      <c r="BR677" s="74"/>
      <c r="BS677" s="74"/>
      <c r="BT677" s="74"/>
      <c r="BU677" s="74"/>
      <c r="BV677" s="74"/>
      <c r="BW677" s="74"/>
      <c r="BX677" s="74"/>
      <c r="BY677" s="74"/>
      <c r="BZ677" s="74"/>
      <c r="CA677" s="74"/>
      <c r="CB677" s="74"/>
      <c r="CC677" s="74"/>
      <c r="CD677" s="74"/>
      <c r="CE677" s="74"/>
      <c r="CF677" s="74"/>
      <c r="CG677" s="74"/>
      <c r="CH677" s="74"/>
      <c r="CI677" s="74"/>
      <c r="CJ677" s="74"/>
      <c r="CK677" s="74"/>
      <c r="CL677" s="74"/>
      <c r="CM677" s="74"/>
      <c r="CN677" s="74"/>
      <c r="CO677" s="74"/>
      <c r="CP677" s="74"/>
      <c r="CQ677" s="74"/>
      <c r="CR677" s="74"/>
      <c r="CS677" s="74"/>
      <c r="CT677" s="74"/>
      <c r="CU677" s="74"/>
      <c r="CV677" s="74"/>
      <c r="CW677" s="74"/>
      <c r="CX677" s="74"/>
      <c r="CY677" s="74"/>
      <c r="CZ677" s="74"/>
      <c r="DA677" s="74"/>
      <c r="DB677" s="74"/>
      <c r="DC677" s="74"/>
    </row>
    <row r="678" spans="15:107" customFormat="1" x14ac:dyDescent="0.35">
      <c r="O678" s="76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74"/>
      <c r="AT678" s="74"/>
      <c r="AU678" s="74"/>
      <c r="AV678" s="74"/>
      <c r="AW678" s="74"/>
      <c r="AX678" s="74"/>
      <c r="AY678" s="74"/>
      <c r="AZ678" s="74"/>
      <c r="BA678" s="74"/>
      <c r="BB678" s="74"/>
      <c r="BC678" s="74"/>
      <c r="BD678" s="74"/>
      <c r="BE678" s="74"/>
      <c r="BF678" s="74"/>
      <c r="BG678" s="74"/>
      <c r="BH678" s="74"/>
      <c r="BI678" s="74"/>
      <c r="BJ678" s="74"/>
      <c r="BK678" s="74"/>
      <c r="BL678" s="74"/>
      <c r="BM678" s="74"/>
      <c r="BN678" s="74"/>
      <c r="BO678" s="74"/>
      <c r="BP678" s="74"/>
      <c r="BQ678" s="74"/>
      <c r="BR678" s="74"/>
      <c r="BS678" s="74"/>
      <c r="BT678" s="74"/>
      <c r="BU678" s="74"/>
      <c r="BV678" s="74"/>
      <c r="BW678" s="74"/>
      <c r="BX678" s="74"/>
      <c r="BY678" s="74"/>
      <c r="BZ678" s="74"/>
      <c r="CA678" s="74"/>
      <c r="CB678" s="74"/>
      <c r="CC678" s="74"/>
      <c r="CD678" s="74"/>
      <c r="CE678" s="74"/>
      <c r="CF678" s="74"/>
      <c r="CG678" s="74"/>
      <c r="CH678" s="74"/>
      <c r="CI678" s="74"/>
      <c r="CJ678" s="74"/>
      <c r="CK678" s="74"/>
      <c r="CL678" s="74"/>
      <c r="CM678" s="74"/>
      <c r="CN678" s="74"/>
      <c r="CO678" s="74"/>
      <c r="CP678" s="74"/>
      <c r="CQ678" s="74"/>
      <c r="CR678" s="74"/>
      <c r="CS678" s="74"/>
      <c r="CT678" s="74"/>
      <c r="CU678" s="74"/>
      <c r="CV678" s="74"/>
      <c r="CW678" s="74"/>
      <c r="CX678" s="74"/>
      <c r="CY678" s="74"/>
      <c r="CZ678" s="74"/>
      <c r="DA678" s="74"/>
      <c r="DB678" s="74"/>
      <c r="DC678" s="74"/>
    </row>
    <row r="679" spans="15:107" customFormat="1" x14ac:dyDescent="0.35">
      <c r="O679" s="76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74"/>
      <c r="AT679" s="74"/>
      <c r="AU679" s="74"/>
      <c r="AV679" s="74"/>
      <c r="AW679" s="74"/>
      <c r="AX679" s="74"/>
      <c r="AY679" s="74"/>
      <c r="AZ679" s="74"/>
      <c r="BA679" s="74"/>
      <c r="BB679" s="74"/>
      <c r="BC679" s="74"/>
      <c r="BD679" s="74"/>
      <c r="BE679" s="74"/>
      <c r="BF679" s="74"/>
      <c r="BG679" s="74"/>
      <c r="BH679" s="74"/>
      <c r="BI679" s="74"/>
      <c r="BJ679" s="74"/>
      <c r="BK679" s="74"/>
      <c r="BL679" s="74"/>
      <c r="BM679" s="74"/>
      <c r="BN679" s="74"/>
      <c r="BO679" s="74"/>
      <c r="BP679" s="74"/>
      <c r="BQ679" s="74"/>
      <c r="BR679" s="74"/>
      <c r="BS679" s="74"/>
      <c r="BT679" s="74"/>
      <c r="BU679" s="74"/>
      <c r="BV679" s="74"/>
      <c r="BW679" s="74"/>
      <c r="BX679" s="74"/>
      <c r="BY679" s="74"/>
      <c r="BZ679" s="74"/>
      <c r="CA679" s="74"/>
      <c r="CB679" s="74"/>
      <c r="CC679" s="74"/>
      <c r="CD679" s="74"/>
      <c r="CE679" s="74"/>
      <c r="CF679" s="74"/>
      <c r="CG679" s="74"/>
      <c r="CH679" s="74"/>
      <c r="CI679" s="74"/>
      <c r="CJ679" s="74"/>
      <c r="CK679" s="74"/>
      <c r="CL679" s="74"/>
      <c r="CM679" s="74"/>
      <c r="CN679" s="74"/>
      <c r="CO679" s="74"/>
      <c r="CP679" s="74"/>
      <c r="CQ679" s="74"/>
      <c r="CR679" s="74"/>
      <c r="CS679" s="74"/>
      <c r="CT679" s="74"/>
      <c r="CU679" s="74"/>
      <c r="CV679" s="74"/>
      <c r="CW679" s="74"/>
      <c r="CX679" s="74"/>
      <c r="CY679" s="74"/>
      <c r="CZ679" s="74"/>
      <c r="DA679" s="74"/>
      <c r="DB679" s="74"/>
      <c r="DC679" s="74"/>
    </row>
    <row r="680" spans="15:107" customFormat="1" x14ac:dyDescent="0.35">
      <c r="O680" s="76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  <c r="AX680" s="74"/>
      <c r="AY680" s="74"/>
      <c r="AZ680" s="74"/>
      <c r="BA680" s="74"/>
      <c r="BB680" s="74"/>
      <c r="BC680" s="74"/>
      <c r="BD680" s="74"/>
      <c r="BE680" s="74"/>
      <c r="BF680" s="74"/>
      <c r="BG680" s="74"/>
      <c r="BH680" s="74"/>
      <c r="BI680" s="74"/>
      <c r="BJ680" s="74"/>
      <c r="BK680" s="74"/>
      <c r="BL680" s="74"/>
      <c r="BM680" s="74"/>
      <c r="BN680" s="74"/>
      <c r="BO680" s="74"/>
      <c r="BP680" s="74"/>
      <c r="BQ680" s="74"/>
      <c r="BR680" s="74"/>
      <c r="BS680" s="74"/>
      <c r="BT680" s="74"/>
      <c r="BU680" s="74"/>
      <c r="BV680" s="74"/>
      <c r="BW680" s="74"/>
      <c r="BX680" s="74"/>
      <c r="BY680" s="74"/>
      <c r="BZ680" s="74"/>
      <c r="CA680" s="74"/>
      <c r="CB680" s="74"/>
      <c r="CC680" s="74"/>
      <c r="CD680" s="74"/>
      <c r="CE680" s="74"/>
      <c r="CF680" s="74"/>
      <c r="CG680" s="74"/>
      <c r="CH680" s="74"/>
      <c r="CI680" s="74"/>
      <c r="CJ680" s="74"/>
      <c r="CK680" s="74"/>
      <c r="CL680" s="74"/>
      <c r="CM680" s="74"/>
      <c r="CN680" s="74"/>
      <c r="CO680" s="74"/>
      <c r="CP680" s="74"/>
      <c r="CQ680" s="74"/>
      <c r="CR680" s="74"/>
      <c r="CS680" s="74"/>
      <c r="CT680" s="74"/>
      <c r="CU680" s="74"/>
      <c r="CV680" s="74"/>
      <c r="CW680" s="74"/>
      <c r="CX680" s="74"/>
      <c r="CY680" s="74"/>
      <c r="CZ680" s="74"/>
      <c r="DA680" s="74"/>
      <c r="DB680" s="74"/>
      <c r="DC680" s="74"/>
    </row>
    <row r="681" spans="15:107" customFormat="1" x14ac:dyDescent="0.35">
      <c r="O681" s="76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  <c r="AX681" s="74"/>
      <c r="AY681" s="74"/>
      <c r="AZ681" s="74"/>
      <c r="BA681" s="74"/>
      <c r="BB681" s="74"/>
      <c r="BC681" s="74"/>
      <c r="BD681" s="74"/>
      <c r="BE681" s="74"/>
      <c r="BF681" s="74"/>
      <c r="BG681" s="74"/>
      <c r="BH681" s="74"/>
      <c r="BI681" s="74"/>
      <c r="BJ681" s="74"/>
      <c r="BK681" s="74"/>
      <c r="BL681" s="74"/>
      <c r="BM681" s="74"/>
      <c r="BN681" s="74"/>
      <c r="BO681" s="74"/>
      <c r="BP681" s="74"/>
      <c r="BQ681" s="74"/>
      <c r="BR681" s="74"/>
      <c r="BS681" s="74"/>
      <c r="BT681" s="74"/>
      <c r="BU681" s="74"/>
      <c r="BV681" s="74"/>
      <c r="BW681" s="74"/>
      <c r="BX681" s="74"/>
      <c r="BY681" s="74"/>
      <c r="BZ681" s="74"/>
      <c r="CA681" s="74"/>
      <c r="CB681" s="74"/>
      <c r="CC681" s="74"/>
      <c r="CD681" s="74"/>
      <c r="CE681" s="74"/>
      <c r="CF681" s="74"/>
      <c r="CG681" s="74"/>
      <c r="CH681" s="74"/>
      <c r="CI681" s="74"/>
      <c r="CJ681" s="74"/>
      <c r="CK681" s="74"/>
      <c r="CL681" s="74"/>
      <c r="CM681" s="74"/>
      <c r="CN681" s="74"/>
      <c r="CO681" s="74"/>
      <c r="CP681" s="74"/>
      <c r="CQ681" s="74"/>
      <c r="CR681" s="74"/>
      <c r="CS681" s="74"/>
      <c r="CT681" s="74"/>
      <c r="CU681" s="74"/>
      <c r="CV681" s="74"/>
      <c r="CW681" s="74"/>
      <c r="CX681" s="74"/>
      <c r="CY681" s="74"/>
      <c r="CZ681" s="74"/>
      <c r="DA681" s="74"/>
      <c r="DB681" s="74"/>
      <c r="DC681" s="74"/>
    </row>
    <row r="682" spans="15:107" customFormat="1" x14ac:dyDescent="0.35">
      <c r="O682" s="76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  <c r="AX682" s="74"/>
      <c r="AY682" s="74"/>
      <c r="AZ682" s="74"/>
      <c r="BA682" s="74"/>
      <c r="BB682" s="74"/>
      <c r="BC682" s="74"/>
      <c r="BD682" s="74"/>
      <c r="BE682" s="74"/>
      <c r="BF682" s="74"/>
      <c r="BG682" s="74"/>
      <c r="BH682" s="74"/>
      <c r="BI682" s="74"/>
      <c r="BJ682" s="74"/>
      <c r="BK682" s="74"/>
      <c r="BL682" s="74"/>
      <c r="BM682" s="74"/>
      <c r="BN682" s="74"/>
      <c r="BO682" s="74"/>
      <c r="BP682" s="74"/>
      <c r="BQ682" s="74"/>
      <c r="BR682" s="74"/>
      <c r="BS682" s="74"/>
      <c r="BT682" s="74"/>
      <c r="BU682" s="74"/>
      <c r="BV682" s="74"/>
      <c r="BW682" s="74"/>
      <c r="BX682" s="74"/>
      <c r="BY682" s="74"/>
      <c r="BZ682" s="74"/>
      <c r="CA682" s="74"/>
      <c r="CB682" s="74"/>
      <c r="CC682" s="74"/>
      <c r="CD682" s="74"/>
      <c r="CE682" s="74"/>
      <c r="CF682" s="74"/>
      <c r="CG682" s="74"/>
      <c r="CH682" s="74"/>
      <c r="CI682" s="74"/>
      <c r="CJ682" s="74"/>
      <c r="CK682" s="74"/>
      <c r="CL682" s="74"/>
      <c r="CM682" s="74"/>
      <c r="CN682" s="74"/>
      <c r="CO682" s="74"/>
      <c r="CP682" s="74"/>
      <c r="CQ682" s="74"/>
      <c r="CR682" s="74"/>
      <c r="CS682" s="74"/>
      <c r="CT682" s="74"/>
      <c r="CU682" s="74"/>
      <c r="CV682" s="74"/>
      <c r="CW682" s="74"/>
      <c r="CX682" s="74"/>
      <c r="CY682" s="74"/>
      <c r="CZ682" s="74"/>
      <c r="DA682" s="74"/>
      <c r="DB682" s="74"/>
      <c r="DC682" s="74"/>
    </row>
    <row r="683" spans="15:107" customFormat="1" x14ac:dyDescent="0.35">
      <c r="O683" s="76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  <c r="AX683" s="74"/>
      <c r="AY683" s="74"/>
      <c r="AZ683" s="74"/>
      <c r="BA683" s="74"/>
      <c r="BB683" s="74"/>
      <c r="BC683" s="74"/>
      <c r="BD683" s="74"/>
      <c r="BE683" s="74"/>
      <c r="BF683" s="74"/>
      <c r="BG683" s="74"/>
      <c r="BH683" s="74"/>
      <c r="BI683" s="74"/>
      <c r="BJ683" s="74"/>
      <c r="BK683" s="74"/>
      <c r="BL683" s="74"/>
      <c r="BM683" s="74"/>
      <c r="BN683" s="74"/>
      <c r="BO683" s="74"/>
      <c r="BP683" s="74"/>
      <c r="BQ683" s="74"/>
      <c r="BR683" s="74"/>
      <c r="BS683" s="74"/>
      <c r="BT683" s="74"/>
      <c r="BU683" s="74"/>
      <c r="BV683" s="74"/>
      <c r="BW683" s="74"/>
      <c r="BX683" s="74"/>
      <c r="BY683" s="74"/>
      <c r="BZ683" s="74"/>
      <c r="CA683" s="74"/>
      <c r="CB683" s="74"/>
      <c r="CC683" s="74"/>
      <c r="CD683" s="74"/>
      <c r="CE683" s="74"/>
      <c r="CF683" s="74"/>
      <c r="CG683" s="74"/>
      <c r="CH683" s="74"/>
      <c r="CI683" s="74"/>
      <c r="CJ683" s="74"/>
      <c r="CK683" s="74"/>
      <c r="CL683" s="74"/>
      <c r="CM683" s="74"/>
      <c r="CN683" s="74"/>
      <c r="CO683" s="74"/>
      <c r="CP683" s="74"/>
      <c r="CQ683" s="74"/>
      <c r="CR683" s="74"/>
      <c r="CS683" s="74"/>
      <c r="CT683" s="74"/>
      <c r="CU683" s="74"/>
      <c r="CV683" s="74"/>
      <c r="CW683" s="74"/>
      <c r="CX683" s="74"/>
      <c r="CY683" s="74"/>
      <c r="CZ683" s="74"/>
      <c r="DA683" s="74"/>
      <c r="DB683" s="74"/>
      <c r="DC683" s="74"/>
    </row>
    <row r="684" spans="15:107" customFormat="1" x14ac:dyDescent="0.35">
      <c r="O684" s="76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74"/>
      <c r="AT684" s="74"/>
      <c r="AU684" s="74"/>
      <c r="AV684" s="74"/>
      <c r="AW684" s="74"/>
      <c r="AX684" s="74"/>
      <c r="AY684" s="74"/>
      <c r="AZ684" s="74"/>
      <c r="BA684" s="74"/>
      <c r="BB684" s="74"/>
      <c r="BC684" s="74"/>
      <c r="BD684" s="74"/>
      <c r="BE684" s="74"/>
      <c r="BF684" s="74"/>
      <c r="BG684" s="74"/>
      <c r="BH684" s="74"/>
      <c r="BI684" s="74"/>
      <c r="BJ684" s="74"/>
      <c r="BK684" s="74"/>
      <c r="BL684" s="74"/>
      <c r="BM684" s="74"/>
      <c r="BN684" s="74"/>
      <c r="BO684" s="74"/>
      <c r="BP684" s="74"/>
      <c r="BQ684" s="74"/>
      <c r="BR684" s="74"/>
      <c r="BS684" s="74"/>
      <c r="BT684" s="74"/>
      <c r="BU684" s="74"/>
      <c r="BV684" s="74"/>
      <c r="BW684" s="74"/>
      <c r="BX684" s="74"/>
      <c r="BY684" s="74"/>
      <c r="BZ684" s="74"/>
      <c r="CA684" s="74"/>
      <c r="CB684" s="74"/>
      <c r="CC684" s="74"/>
      <c r="CD684" s="74"/>
      <c r="CE684" s="74"/>
      <c r="CF684" s="74"/>
      <c r="CG684" s="74"/>
      <c r="CH684" s="74"/>
      <c r="CI684" s="74"/>
      <c r="CJ684" s="74"/>
      <c r="CK684" s="74"/>
      <c r="CL684" s="74"/>
      <c r="CM684" s="74"/>
      <c r="CN684" s="74"/>
      <c r="CO684" s="74"/>
      <c r="CP684" s="74"/>
      <c r="CQ684" s="74"/>
      <c r="CR684" s="74"/>
      <c r="CS684" s="74"/>
      <c r="CT684" s="74"/>
      <c r="CU684" s="74"/>
      <c r="CV684" s="74"/>
      <c r="CW684" s="74"/>
      <c r="CX684" s="74"/>
      <c r="CY684" s="74"/>
      <c r="CZ684" s="74"/>
      <c r="DA684" s="74"/>
      <c r="DB684" s="74"/>
      <c r="DC684" s="74"/>
    </row>
    <row r="685" spans="15:107" customFormat="1" x14ac:dyDescent="0.35">
      <c r="O685" s="76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  <c r="AZ685" s="74"/>
      <c r="BA685" s="74"/>
      <c r="BB685" s="74"/>
      <c r="BC685" s="74"/>
      <c r="BD685" s="74"/>
      <c r="BE685" s="74"/>
      <c r="BF685" s="74"/>
      <c r="BG685" s="74"/>
      <c r="BH685" s="74"/>
      <c r="BI685" s="74"/>
      <c r="BJ685" s="74"/>
      <c r="BK685" s="74"/>
      <c r="BL685" s="74"/>
      <c r="BM685" s="74"/>
      <c r="BN685" s="74"/>
      <c r="BO685" s="74"/>
      <c r="BP685" s="74"/>
      <c r="BQ685" s="74"/>
      <c r="BR685" s="74"/>
      <c r="BS685" s="74"/>
      <c r="BT685" s="74"/>
      <c r="BU685" s="74"/>
      <c r="BV685" s="74"/>
      <c r="BW685" s="74"/>
      <c r="BX685" s="74"/>
      <c r="BY685" s="74"/>
      <c r="BZ685" s="74"/>
      <c r="CA685" s="74"/>
      <c r="CB685" s="74"/>
      <c r="CC685" s="74"/>
      <c r="CD685" s="74"/>
      <c r="CE685" s="74"/>
      <c r="CF685" s="74"/>
      <c r="CG685" s="74"/>
      <c r="CH685" s="74"/>
      <c r="CI685" s="74"/>
      <c r="CJ685" s="74"/>
      <c r="CK685" s="74"/>
      <c r="CL685" s="74"/>
      <c r="CM685" s="74"/>
      <c r="CN685" s="74"/>
      <c r="CO685" s="74"/>
      <c r="CP685" s="74"/>
      <c r="CQ685" s="74"/>
      <c r="CR685" s="74"/>
      <c r="CS685" s="74"/>
      <c r="CT685" s="74"/>
      <c r="CU685" s="74"/>
      <c r="CV685" s="74"/>
      <c r="CW685" s="74"/>
      <c r="CX685" s="74"/>
      <c r="CY685" s="74"/>
      <c r="CZ685" s="74"/>
      <c r="DA685" s="74"/>
      <c r="DB685" s="74"/>
      <c r="DC685" s="74"/>
    </row>
    <row r="686" spans="15:107" customFormat="1" x14ac:dyDescent="0.35">
      <c r="O686" s="76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74"/>
      <c r="BJ686" s="74"/>
      <c r="BK686" s="74"/>
      <c r="BL686" s="74"/>
      <c r="BM686" s="74"/>
      <c r="BN686" s="74"/>
      <c r="BO686" s="74"/>
      <c r="BP686" s="74"/>
      <c r="BQ686" s="74"/>
      <c r="BR686" s="74"/>
      <c r="BS686" s="74"/>
      <c r="BT686" s="74"/>
      <c r="BU686" s="74"/>
      <c r="BV686" s="74"/>
      <c r="BW686" s="74"/>
      <c r="BX686" s="74"/>
      <c r="BY686" s="74"/>
      <c r="BZ686" s="74"/>
      <c r="CA686" s="74"/>
      <c r="CB686" s="74"/>
      <c r="CC686" s="74"/>
      <c r="CD686" s="74"/>
      <c r="CE686" s="74"/>
      <c r="CF686" s="74"/>
      <c r="CG686" s="74"/>
      <c r="CH686" s="74"/>
      <c r="CI686" s="74"/>
      <c r="CJ686" s="74"/>
      <c r="CK686" s="74"/>
      <c r="CL686" s="74"/>
      <c r="CM686" s="74"/>
      <c r="CN686" s="74"/>
      <c r="CO686" s="74"/>
      <c r="CP686" s="74"/>
      <c r="CQ686" s="74"/>
      <c r="CR686" s="74"/>
      <c r="CS686" s="74"/>
      <c r="CT686" s="74"/>
      <c r="CU686" s="74"/>
      <c r="CV686" s="74"/>
      <c r="CW686" s="74"/>
      <c r="CX686" s="74"/>
      <c r="CY686" s="74"/>
      <c r="CZ686" s="74"/>
      <c r="DA686" s="74"/>
      <c r="DB686" s="74"/>
      <c r="DC686" s="74"/>
    </row>
    <row r="687" spans="15:107" customFormat="1" x14ac:dyDescent="0.35">
      <c r="O687" s="76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74"/>
      <c r="BJ687" s="74"/>
      <c r="BK687" s="74"/>
      <c r="BL687" s="74"/>
      <c r="BM687" s="74"/>
      <c r="BN687" s="74"/>
      <c r="BO687" s="74"/>
      <c r="BP687" s="74"/>
      <c r="BQ687" s="74"/>
      <c r="BR687" s="74"/>
      <c r="BS687" s="74"/>
      <c r="BT687" s="74"/>
      <c r="BU687" s="74"/>
      <c r="BV687" s="74"/>
      <c r="BW687" s="74"/>
      <c r="BX687" s="74"/>
      <c r="BY687" s="74"/>
      <c r="BZ687" s="74"/>
      <c r="CA687" s="74"/>
      <c r="CB687" s="74"/>
      <c r="CC687" s="74"/>
      <c r="CD687" s="74"/>
      <c r="CE687" s="74"/>
      <c r="CF687" s="74"/>
      <c r="CG687" s="74"/>
      <c r="CH687" s="74"/>
      <c r="CI687" s="74"/>
      <c r="CJ687" s="74"/>
      <c r="CK687" s="74"/>
      <c r="CL687" s="74"/>
      <c r="CM687" s="74"/>
      <c r="CN687" s="74"/>
      <c r="CO687" s="74"/>
      <c r="CP687" s="74"/>
      <c r="CQ687" s="74"/>
      <c r="CR687" s="74"/>
      <c r="CS687" s="74"/>
      <c r="CT687" s="74"/>
      <c r="CU687" s="74"/>
      <c r="CV687" s="74"/>
      <c r="CW687" s="74"/>
      <c r="CX687" s="74"/>
      <c r="CY687" s="74"/>
      <c r="CZ687" s="74"/>
      <c r="DA687" s="74"/>
      <c r="DB687" s="74"/>
      <c r="DC687" s="74"/>
    </row>
    <row r="688" spans="15:107" customFormat="1" x14ac:dyDescent="0.35">
      <c r="O688" s="76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74"/>
      <c r="AT688" s="74"/>
      <c r="AU688" s="74"/>
      <c r="AV688" s="74"/>
      <c r="AW688" s="74"/>
      <c r="AX688" s="74"/>
      <c r="AY688" s="74"/>
      <c r="AZ688" s="74"/>
      <c r="BA688" s="74"/>
      <c r="BB688" s="74"/>
      <c r="BC688" s="74"/>
      <c r="BD688" s="74"/>
      <c r="BE688" s="74"/>
      <c r="BF688" s="74"/>
      <c r="BG688" s="74"/>
      <c r="BH688" s="74"/>
      <c r="BI688" s="74"/>
      <c r="BJ688" s="74"/>
      <c r="BK688" s="74"/>
      <c r="BL688" s="74"/>
      <c r="BM688" s="74"/>
      <c r="BN688" s="74"/>
      <c r="BO688" s="74"/>
      <c r="BP688" s="74"/>
      <c r="BQ688" s="74"/>
      <c r="BR688" s="74"/>
      <c r="BS688" s="74"/>
      <c r="BT688" s="74"/>
      <c r="BU688" s="74"/>
      <c r="BV688" s="74"/>
      <c r="BW688" s="74"/>
      <c r="BX688" s="74"/>
      <c r="BY688" s="74"/>
      <c r="BZ688" s="74"/>
      <c r="CA688" s="74"/>
      <c r="CB688" s="74"/>
      <c r="CC688" s="74"/>
      <c r="CD688" s="74"/>
      <c r="CE688" s="74"/>
      <c r="CF688" s="74"/>
      <c r="CG688" s="74"/>
      <c r="CH688" s="74"/>
      <c r="CI688" s="74"/>
      <c r="CJ688" s="74"/>
      <c r="CK688" s="74"/>
      <c r="CL688" s="74"/>
      <c r="CM688" s="74"/>
      <c r="CN688" s="74"/>
      <c r="CO688" s="74"/>
      <c r="CP688" s="74"/>
      <c r="CQ688" s="74"/>
      <c r="CR688" s="74"/>
      <c r="CS688" s="74"/>
      <c r="CT688" s="74"/>
      <c r="CU688" s="74"/>
      <c r="CV688" s="74"/>
      <c r="CW688" s="74"/>
      <c r="CX688" s="74"/>
      <c r="CY688" s="74"/>
      <c r="CZ688" s="74"/>
      <c r="DA688" s="74"/>
      <c r="DB688" s="74"/>
      <c r="DC688" s="74"/>
    </row>
    <row r="689" spans="15:107" customFormat="1" x14ac:dyDescent="0.35">
      <c r="O689" s="76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  <c r="AS689" s="74"/>
      <c r="AT689" s="74"/>
      <c r="AU689" s="74"/>
      <c r="AV689" s="74"/>
      <c r="AW689" s="74"/>
      <c r="AX689" s="74"/>
      <c r="AY689" s="74"/>
      <c r="AZ689" s="74"/>
      <c r="BA689" s="74"/>
      <c r="BB689" s="74"/>
      <c r="BC689" s="74"/>
      <c r="BD689" s="74"/>
      <c r="BE689" s="74"/>
      <c r="BF689" s="74"/>
      <c r="BG689" s="74"/>
      <c r="BH689" s="74"/>
      <c r="BI689" s="74"/>
      <c r="BJ689" s="74"/>
      <c r="BK689" s="74"/>
      <c r="BL689" s="74"/>
      <c r="BM689" s="74"/>
      <c r="BN689" s="74"/>
      <c r="BO689" s="74"/>
      <c r="BP689" s="74"/>
      <c r="BQ689" s="74"/>
      <c r="BR689" s="74"/>
      <c r="BS689" s="74"/>
      <c r="BT689" s="74"/>
      <c r="BU689" s="74"/>
      <c r="BV689" s="74"/>
      <c r="BW689" s="74"/>
      <c r="BX689" s="74"/>
      <c r="BY689" s="74"/>
      <c r="BZ689" s="74"/>
      <c r="CA689" s="74"/>
      <c r="CB689" s="74"/>
      <c r="CC689" s="74"/>
      <c r="CD689" s="74"/>
      <c r="CE689" s="74"/>
      <c r="CF689" s="74"/>
      <c r="CG689" s="74"/>
      <c r="CH689" s="74"/>
      <c r="CI689" s="74"/>
      <c r="CJ689" s="74"/>
      <c r="CK689" s="74"/>
      <c r="CL689" s="74"/>
      <c r="CM689" s="74"/>
      <c r="CN689" s="74"/>
      <c r="CO689" s="74"/>
      <c r="CP689" s="74"/>
      <c r="CQ689" s="74"/>
      <c r="CR689" s="74"/>
      <c r="CS689" s="74"/>
      <c r="CT689" s="74"/>
      <c r="CU689" s="74"/>
      <c r="CV689" s="74"/>
      <c r="CW689" s="74"/>
      <c r="CX689" s="74"/>
      <c r="CY689" s="74"/>
      <c r="CZ689" s="74"/>
      <c r="DA689" s="74"/>
      <c r="DB689" s="74"/>
      <c r="DC689" s="74"/>
    </row>
    <row r="690" spans="15:107" customFormat="1" x14ac:dyDescent="0.35">
      <c r="O690" s="76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74"/>
      <c r="BM690" s="74"/>
      <c r="BN690" s="74"/>
      <c r="BO690" s="74"/>
      <c r="BP690" s="74"/>
      <c r="BQ690" s="74"/>
      <c r="BR690" s="74"/>
      <c r="BS690" s="74"/>
      <c r="BT690" s="74"/>
      <c r="BU690" s="74"/>
      <c r="BV690" s="74"/>
      <c r="BW690" s="74"/>
      <c r="BX690" s="74"/>
      <c r="BY690" s="74"/>
      <c r="BZ690" s="74"/>
      <c r="CA690" s="74"/>
      <c r="CB690" s="74"/>
      <c r="CC690" s="74"/>
      <c r="CD690" s="74"/>
      <c r="CE690" s="74"/>
      <c r="CF690" s="74"/>
      <c r="CG690" s="74"/>
      <c r="CH690" s="74"/>
      <c r="CI690" s="74"/>
      <c r="CJ690" s="74"/>
      <c r="CK690" s="74"/>
      <c r="CL690" s="74"/>
      <c r="CM690" s="74"/>
      <c r="CN690" s="74"/>
      <c r="CO690" s="74"/>
      <c r="CP690" s="74"/>
      <c r="CQ690" s="74"/>
      <c r="CR690" s="74"/>
      <c r="CS690" s="74"/>
      <c r="CT690" s="74"/>
      <c r="CU690" s="74"/>
      <c r="CV690" s="74"/>
      <c r="CW690" s="74"/>
      <c r="CX690" s="74"/>
      <c r="CY690" s="74"/>
      <c r="CZ690" s="74"/>
      <c r="DA690" s="74"/>
      <c r="DB690" s="74"/>
      <c r="DC690" s="74"/>
    </row>
    <row r="691" spans="15:107" customFormat="1" x14ac:dyDescent="0.35">
      <c r="O691" s="76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74"/>
      <c r="BM691" s="74"/>
      <c r="BN691" s="74"/>
      <c r="BO691" s="74"/>
      <c r="BP691" s="74"/>
      <c r="BQ691" s="74"/>
      <c r="BR691" s="74"/>
      <c r="BS691" s="74"/>
      <c r="BT691" s="74"/>
      <c r="BU691" s="74"/>
      <c r="BV691" s="74"/>
      <c r="BW691" s="74"/>
      <c r="BX691" s="74"/>
      <c r="BY691" s="74"/>
      <c r="BZ691" s="74"/>
      <c r="CA691" s="74"/>
      <c r="CB691" s="74"/>
      <c r="CC691" s="74"/>
      <c r="CD691" s="74"/>
      <c r="CE691" s="74"/>
      <c r="CF691" s="74"/>
      <c r="CG691" s="74"/>
      <c r="CH691" s="74"/>
      <c r="CI691" s="74"/>
      <c r="CJ691" s="74"/>
      <c r="CK691" s="74"/>
      <c r="CL691" s="74"/>
      <c r="CM691" s="74"/>
      <c r="CN691" s="74"/>
      <c r="CO691" s="74"/>
      <c r="CP691" s="74"/>
      <c r="CQ691" s="74"/>
      <c r="CR691" s="74"/>
      <c r="CS691" s="74"/>
      <c r="CT691" s="74"/>
      <c r="CU691" s="74"/>
      <c r="CV691" s="74"/>
      <c r="CW691" s="74"/>
      <c r="CX691" s="74"/>
      <c r="CY691" s="74"/>
      <c r="CZ691" s="74"/>
      <c r="DA691" s="74"/>
      <c r="DB691" s="74"/>
      <c r="DC691" s="74"/>
    </row>
    <row r="692" spans="15:107" customFormat="1" x14ac:dyDescent="0.35">
      <c r="O692" s="76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74"/>
      <c r="BM692" s="74"/>
      <c r="BN692" s="74"/>
      <c r="BO692" s="74"/>
      <c r="BP692" s="74"/>
      <c r="BQ692" s="74"/>
      <c r="BR692" s="74"/>
      <c r="BS692" s="74"/>
      <c r="BT692" s="74"/>
      <c r="BU692" s="74"/>
      <c r="BV692" s="74"/>
      <c r="BW692" s="74"/>
      <c r="BX692" s="74"/>
      <c r="BY692" s="74"/>
      <c r="BZ692" s="74"/>
      <c r="CA692" s="74"/>
      <c r="CB692" s="74"/>
      <c r="CC692" s="74"/>
      <c r="CD692" s="74"/>
      <c r="CE692" s="74"/>
      <c r="CF692" s="74"/>
      <c r="CG692" s="74"/>
      <c r="CH692" s="74"/>
      <c r="CI692" s="74"/>
      <c r="CJ692" s="74"/>
      <c r="CK692" s="74"/>
      <c r="CL692" s="74"/>
      <c r="CM692" s="74"/>
      <c r="CN692" s="74"/>
      <c r="CO692" s="74"/>
      <c r="CP692" s="74"/>
      <c r="CQ692" s="74"/>
      <c r="CR692" s="74"/>
      <c r="CS692" s="74"/>
      <c r="CT692" s="74"/>
      <c r="CU692" s="74"/>
      <c r="CV692" s="74"/>
      <c r="CW692" s="74"/>
      <c r="CX692" s="74"/>
      <c r="CY692" s="74"/>
      <c r="CZ692" s="74"/>
      <c r="DA692" s="74"/>
      <c r="DB692" s="74"/>
      <c r="DC692" s="74"/>
    </row>
    <row r="693" spans="15:107" customFormat="1" x14ac:dyDescent="0.35">
      <c r="O693" s="76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74"/>
      <c r="BM693" s="74"/>
      <c r="BN693" s="74"/>
      <c r="BO693" s="74"/>
      <c r="BP693" s="74"/>
      <c r="BQ693" s="74"/>
      <c r="BR693" s="74"/>
      <c r="BS693" s="74"/>
      <c r="BT693" s="74"/>
      <c r="BU693" s="74"/>
      <c r="BV693" s="74"/>
      <c r="BW693" s="74"/>
      <c r="BX693" s="74"/>
      <c r="BY693" s="74"/>
      <c r="BZ693" s="74"/>
      <c r="CA693" s="74"/>
      <c r="CB693" s="74"/>
      <c r="CC693" s="74"/>
      <c r="CD693" s="74"/>
      <c r="CE693" s="74"/>
      <c r="CF693" s="74"/>
      <c r="CG693" s="74"/>
      <c r="CH693" s="74"/>
      <c r="CI693" s="74"/>
      <c r="CJ693" s="74"/>
      <c r="CK693" s="74"/>
      <c r="CL693" s="74"/>
      <c r="CM693" s="74"/>
      <c r="CN693" s="74"/>
      <c r="CO693" s="74"/>
      <c r="CP693" s="74"/>
      <c r="CQ693" s="74"/>
      <c r="CR693" s="74"/>
      <c r="CS693" s="74"/>
      <c r="CT693" s="74"/>
      <c r="CU693" s="74"/>
      <c r="CV693" s="74"/>
      <c r="CW693" s="74"/>
      <c r="CX693" s="74"/>
      <c r="CY693" s="74"/>
      <c r="CZ693" s="74"/>
      <c r="DA693" s="74"/>
      <c r="DB693" s="74"/>
      <c r="DC693" s="74"/>
    </row>
    <row r="694" spans="15:107" customFormat="1" x14ac:dyDescent="0.35">
      <c r="O694" s="76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74"/>
      <c r="BM694" s="74"/>
      <c r="BN694" s="74"/>
      <c r="BO694" s="74"/>
      <c r="BP694" s="74"/>
      <c r="BQ694" s="74"/>
      <c r="BR694" s="74"/>
      <c r="BS694" s="74"/>
      <c r="BT694" s="74"/>
      <c r="BU694" s="74"/>
      <c r="BV694" s="74"/>
      <c r="BW694" s="74"/>
      <c r="BX694" s="74"/>
      <c r="BY694" s="74"/>
      <c r="BZ694" s="74"/>
      <c r="CA694" s="74"/>
      <c r="CB694" s="74"/>
      <c r="CC694" s="74"/>
      <c r="CD694" s="74"/>
      <c r="CE694" s="74"/>
      <c r="CF694" s="74"/>
      <c r="CG694" s="74"/>
      <c r="CH694" s="74"/>
      <c r="CI694" s="74"/>
      <c r="CJ694" s="74"/>
      <c r="CK694" s="74"/>
      <c r="CL694" s="74"/>
      <c r="CM694" s="74"/>
      <c r="CN694" s="74"/>
      <c r="CO694" s="74"/>
      <c r="CP694" s="74"/>
      <c r="CQ694" s="74"/>
      <c r="CR694" s="74"/>
      <c r="CS694" s="74"/>
      <c r="CT694" s="74"/>
      <c r="CU694" s="74"/>
      <c r="CV694" s="74"/>
      <c r="CW694" s="74"/>
      <c r="CX694" s="74"/>
      <c r="CY694" s="74"/>
      <c r="CZ694" s="74"/>
      <c r="DA694" s="74"/>
      <c r="DB694" s="74"/>
      <c r="DC694" s="74"/>
    </row>
    <row r="695" spans="15:107" customFormat="1" x14ac:dyDescent="0.35">
      <c r="O695" s="76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74"/>
      <c r="BM695" s="74"/>
      <c r="BN695" s="74"/>
      <c r="BO695" s="74"/>
      <c r="BP695" s="74"/>
      <c r="BQ695" s="74"/>
      <c r="BR695" s="74"/>
      <c r="BS695" s="74"/>
      <c r="BT695" s="74"/>
      <c r="BU695" s="74"/>
      <c r="BV695" s="74"/>
      <c r="BW695" s="74"/>
      <c r="BX695" s="74"/>
      <c r="BY695" s="74"/>
      <c r="BZ695" s="74"/>
      <c r="CA695" s="74"/>
      <c r="CB695" s="74"/>
      <c r="CC695" s="74"/>
      <c r="CD695" s="74"/>
      <c r="CE695" s="74"/>
      <c r="CF695" s="74"/>
      <c r="CG695" s="74"/>
      <c r="CH695" s="74"/>
      <c r="CI695" s="74"/>
      <c r="CJ695" s="74"/>
      <c r="CK695" s="74"/>
      <c r="CL695" s="74"/>
      <c r="CM695" s="74"/>
      <c r="CN695" s="74"/>
      <c r="CO695" s="74"/>
      <c r="CP695" s="74"/>
      <c r="CQ695" s="74"/>
      <c r="CR695" s="74"/>
      <c r="CS695" s="74"/>
      <c r="CT695" s="74"/>
      <c r="CU695" s="74"/>
      <c r="CV695" s="74"/>
      <c r="CW695" s="74"/>
      <c r="CX695" s="74"/>
      <c r="CY695" s="74"/>
      <c r="CZ695" s="74"/>
      <c r="DA695" s="74"/>
      <c r="DB695" s="74"/>
      <c r="DC695" s="74"/>
    </row>
    <row r="696" spans="15:107" customFormat="1" x14ac:dyDescent="0.35">
      <c r="O696" s="76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74"/>
      <c r="BM696" s="74"/>
      <c r="BN696" s="74"/>
      <c r="BO696" s="74"/>
      <c r="BP696" s="74"/>
      <c r="BQ696" s="74"/>
      <c r="BR696" s="74"/>
      <c r="BS696" s="74"/>
      <c r="BT696" s="74"/>
      <c r="BU696" s="74"/>
      <c r="BV696" s="74"/>
      <c r="BW696" s="74"/>
      <c r="BX696" s="74"/>
      <c r="BY696" s="74"/>
      <c r="BZ696" s="74"/>
      <c r="CA696" s="74"/>
      <c r="CB696" s="74"/>
      <c r="CC696" s="74"/>
      <c r="CD696" s="74"/>
      <c r="CE696" s="74"/>
      <c r="CF696" s="74"/>
      <c r="CG696" s="74"/>
      <c r="CH696" s="74"/>
      <c r="CI696" s="74"/>
      <c r="CJ696" s="74"/>
      <c r="CK696" s="74"/>
      <c r="CL696" s="74"/>
      <c r="CM696" s="74"/>
      <c r="CN696" s="74"/>
      <c r="CO696" s="74"/>
      <c r="CP696" s="74"/>
      <c r="CQ696" s="74"/>
      <c r="CR696" s="74"/>
      <c r="CS696" s="74"/>
      <c r="CT696" s="74"/>
      <c r="CU696" s="74"/>
      <c r="CV696" s="74"/>
      <c r="CW696" s="74"/>
      <c r="CX696" s="74"/>
      <c r="CY696" s="74"/>
      <c r="CZ696" s="74"/>
      <c r="DA696" s="74"/>
      <c r="DB696" s="74"/>
      <c r="DC696" s="74"/>
    </row>
    <row r="697" spans="15:107" customFormat="1" x14ac:dyDescent="0.35">
      <c r="O697" s="76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74"/>
      <c r="BM697" s="74"/>
      <c r="BN697" s="74"/>
      <c r="BO697" s="74"/>
      <c r="BP697" s="74"/>
      <c r="BQ697" s="74"/>
      <c r="BR697" s="74"/>
      <c r="BS697" s="74"/>
      <c r="BT697" s="74"/>
      <c r="BU697" s="74"/>
      <c r="BV697" s="74"/>
      <c r="BW697" s="74"/>
      <c r="BX697" s="74"/>
      <c r="BY697" s="74"/>
      <c r="BZ697" s="74"/>
      <c r="CA697" s="74"/>
      <c r="CB697" s="74"/>
      <c r="CC697" s="74"/>
      <c r="CD697" s="74"/>
      <c r="CE697" s="74"/>
      <c r="CF697" s="74"/>
      <c r="CG697" s="74"/>
      <c r="CH697" s="74"/>
      <c r="CI697" s="74"/>
      <c r="CJ697" s="74"/>
      <c r="CK697" s="74"/>
      <c r="CL697" s="74"/>
      <c r="CM697" s="74"/>
      <c r="CN697" s="74"/>
      <c r="CO697" s="74"/>
      <c r="CP697" s="74"/>
      <c r="CQ697" s="74"/>
      <c r="CR697" s="74"/>
      <c r="CS697" s="74"/>
      <c r="CT697" s="74"/>
      <c r="CU697" s="74"/>
      <c r="CV697" s="74"/>
      <c r="CW697" s="74"/>
      <c r="CX697" s="74"/>
      <c r="CY697" s="74"/>
      <c r="CZ697" s="74"/>
      <c r="DA697" s="74"/>
      <c r="DB697" s="74"/>
      <c r="DC697" s="74"/>
    </row>
    <row r="698" spans="15:107" customFormat="1" x14ac:dyDescent="0.35">
      <c r="O698" s="76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74"/>
      <c r="BM698" s="74"/>
      <c r="BN698" s="74"/>
      <c r="BO698" s="74"/>
      <c r="BP698" s="74"/>
      <c r="BQ698" s="74"/>
      <c r="BR698" s="74"/>
      <c r="BS698" s="74"/>
      <c r="BT698" s="74"/>
      <c r="BU698" s="74"/>
      <c r="BV698" s="74"/>
      <c r="BW698" s="74"/>
      <c r="BX698" s="74"/>
      <c r="BY698" s="74"/>
      <c r="BZ698" s="74"/>
      <c r="CA698" s="74"/>
      <c r="CB698" s="74"/>
      <c r="CC698" s="74"/>
      <c r="CD698" s="74"/>
      <c r="CE698" s="74"/>
      <c r="CF698" s="74"/>
      <c r="CG698" s="74"/>
      <c r="CH698" s="74"/>
      <c r="CI698" s="74"/>
      <c r="CJ698" s="74"/>
      <c r="CK698" s="74"/>
      <c r="CL698" s="74"/>
      <c r="CM698" s="74"/>
      <c r="CN698" s="74"/>
      <c r="CO698" s="74"/>
      <c r="CP698" s="74"/>
      <c r="CQ698" s="74"/>
      <c r="CR698" s="74"/>
      <c r="CS698" s="74"/>
      <c r="CT698" s="74"/>
      <c r="CU698" s="74"/>
      <c r="CV698" s="74"/>
      <c r="CW698" s="74"/>
      <c r="CX698" s="74"/>
      <c r="CY698" s="74"/>
      <c r="CZ698" s="74"/>
      <c r="DA698" s="74"/>
      <c r="DB698" s="74"/>
      <c r="DC698" s="74"/>
    </row>
    <row r="699" spans="15:107" customFormat="1" x14ac:dyDescent="0.35">
      <c r="O699" s="76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74"/>
      <c r="BM699" s="74"/>
      <c r="BN699" s="74"/>
      <c r="BO699" s="74"/>
      <c r="BP699" s="74"/>
      <c r="BQ699" s="74"/>
      <c r="BR699" s="74"/>
      <c r="BS699" s="74"/>
      <c r="BT699" s="74"/>
      <c r="BU699" s="74"/>
      <c r="BV699" s="74"/>
      <c r="BW699" s="74"/>
      <c r="BX699" s="74"/>
      <c r="BY699" s="74"/>
      <c r="BZ699" s="74"/>
      <c r="CA699" s="74"/>
      <c r="CB699" s="74"/>
      <c r="CC699" s="74"/>
      <c r="CD699" s="74"/>
      <c r="CE699" s="74"/>
      <c r="CF699" s="74"/>
      <c r="CG699" s="74"/>
      <c r="CH699" s="74"/>
      <c r="CI699" s="74"/>
      <c r="CJ699" s="74"/>
      <c r="CK699" s="74"/>
      <c r="CL699" s="74"/>
      <c r="CM699" s="74"/>
      <c r="CN699" s="74"/>
      <c r="CO699" s="74"/>
      <c r="CP699" s="74"/>
      <c r="CQ699" s="74"/>
      <c r="CR699" s="74"/>
      <c r="CS699" s="74"/>
      <c r="CT699" s="74"/>
      <c r="CU699" s="74"/>
      <c r="CV699" s="74"/>
      <c r="CW699" s="74"/>
      <c r="CX699" s="74"/>
      <c r="CY699" s="74"/>
      <c r="CZ699" s="74"/>
      <c r="DA699" s="74"/>
      <c r="DB699" s="74"/>
      <c r="DC699" s="74"/>
    </row>
    <row r="700" spans="15:107" customFormat="1" x14ac:dyDescent="0.35">
      <c r="O700" s="76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74"/>
      <c r="AT700" s="74"/>
      <c r="AU700" s="74"/>
      <c r="AV700" s="74"/>
      <c r="AW700" s="74"/>
      <c r="AX700" s="74"/>
      <c r="AY700" s="74"/>
      <c r="AZ700" s="74"/>
      <c r="BA700" s="74"/>
      <c r="BB700" s="74"/>
      <c r="BC700" s="74"/>
      <c r="BD700" s="74"/>
      <c r="BE700" s="74"/>
      <c r="BF700" s="74"/>
      <c r="BG700" s="74"/>
      <c r="BH700" s="74"/>
      <c r="BI700" s="74"/>
      <c r="BJ700" s="74"/>
      <c r="BK700" s="74"/>
      <c r="BL700" s="74"/>
      <c r="BM700" s="74"/>
      <c r="BN700" s="74"/>
      <c r="BO700" s="74"/>
      <c r="BP700" s="74"/>
      <c r="BQ700" s="74"/>
      <c r="BR700" s="74"/>
      <c r="BS700" s="74"/>
      <c r="BT700" s="74"/>
      <c r="BU700" s="74"/>
      <c r="BV700" s="74"/>
      <c r="BW700" s="74"/>
      <c r="BX700" s="74"/>
      <c r="BY700" s="74"/>
      <c r="BZ700" s="74"/>
      <c r="CA700" s="74"/>
      <c r="CB700" s="74"/>
      <c r="CC700" s="74"/>
      <c r="CD700" s="74"/>
      <c r="CE700" s="74"/>
      <c r="CF700" s="74"/>
      <c r="CG700" s="74"/>
      <c r="CH700" s="74"/>
      <c r="CI700" s="74"/>
      <c r="CJ700" s="74"/>
      <c r="CK700" s="74"/>
      <c r="CL700" s="74"/>
      <c r="CM700" s="74"/>
      <c r="CN700" s="74"/>
      <c r="CO700" s="74"/>
      <c r="CP700" s="74"/>
      <c r="CQ700" s="74"/>
      <c r="CR700" s="74"/>
      <c r="CS700" s="74"/>
      <c r="CT700" s="74"/>
      <c r="CU700" s="74"/>
      <c r="CV700" s="74"/>
      <c r="CW700" s="74"/>
      <c r="CX700" s="74"/>
      <c r="CY700" s="74"/>
      <c r="CZ700" s="74"/>
      <c r="DA700" s="74"/>
      <c r="DB700" s="74"/>
      <c r="DC700" s="74"/>
    </row>
    <row r="701" spans="15:107" customFormat="1" x14ac:dyDescent="0.35">
      <c r="O701" s="76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  <c r="AX701" s="74"/>
      <c r="AY701" s="74"/>
      <c r="AZ701" s="74"/>
      <c r="BA701" s="74"/>
      <c r="BB701" s="74"/>
      <c r="BC701" s="74"/>
      <c r="BD701" s="74"/>
      <c r="BE701" s="74"/>
      <c r="BF701" s="74"/>
      <c r="BG701" s="74"/>
      <c r="BH701" s="74"/>
      <c r="BI701" s="74"/>
      <c r="BJ701" s="74"/>
      <c r="BK701" s="74"/>
      <c r="BL701" s="74"/>
      <c r="BM701" s="74"/>
      <c r="BN701" s="74"/>
      <c r="BO701" s="74"/>
      <c r="BP701" s="74"/>
      <c r="BQ701" s="74"/>
      <c r="BR701" s="74"/>
      <c r="BS701" s="74"/>
      <c r="BT701" s="74"/>
      <c r="BU701" s="74"/>
      <c r="BV701" s="74"/>
      <c r="BW701" s="74"/>
      <c r="BX701" s="74"/>
      <c r="BY701" s="74"/>
      <c r="BZ701" s="74"/>
      <c r="CA701" s="74"/>
      <c r="CB701" s="74"/>
      <c r="CC701" s="74"/>
      <c r="CD701" s="74"/>
      <c r="CE701" s="74"/>
      <c r="CF701" s="74"/>
      <c r="CG701" s="74"/>
      <c r="CH701" s="74"/>
      <c r="CI701" s="74"/>
      <c r="CJ701" s="74"/>
      <c r="CK701" s="74"/>
      <c r="CL701" s="74"/>
      <c r="CM701" s="74"/>
      <c r="CN701" s="74"/>
      <c r="CO701" s="74"/>
      <c r="CP701" s="74"/>
      <c r="CQ701" s="74"/>
      <c r="CR701" s="74"/>
      <c r="CS701" s="74"/>
      <c r="CT701" s="74"/>
      <c r="CU701" s="74"/>
      <c r="CV701" s="74"/>
      <c r="CW701" s="74"/>
      <c r="CX701" s="74"/>
      <c r="CY701" s="74"/>
      <c r="CZ701" s="74"/>
      <c r="DA701" s="74"/>
      <c r="DB701" s="74"/>
      <c r="DC701" s="74"/>
    </row>
    <row r="702" spans="15:107" customFormat="1" x14ac:dyDescent="0.35">
      <c r="O702" s="76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  <c r="AS702" s="74"/>
      <c r="AT702" s="74"/>
      <c r="AU702" s="74"/>
      <c r="AV702" s="74"/>
      <c r="AW702" s="74"/>
      <c r="AX702" s="74"/>
      <c r="AY702" s="74"/>
      <c r="AZ702" s="74"/>
      <c r="BA702" s="74"/>
      <c r="BB702" s="74"/>
      <c r="BC702" s="74"/>
      <c r="BD702" s="74"/>
      <c r="BE702" s="74"/>
      <c r="BF702" s="74"/>
      <c r="BG702" s="74"/>
      <c r="BH702" s="74"/>
      <c r="BI702" s="74"/>
      <c r="BJ702" s="74"/>
      <c r="BK702" s="74"/>
      <c r="BL702" s="74"/>
      <c r="BM702" s="74"/>
      <c r="BN702" s="74"/>
      <c r="BO702" s="74"/>
      <c r="BP702" s="74"/>
      <c r="BQ702" s="74"/>
      <c r="BR702" s="74"/>
      <c r="BS702" s="74"/>
      <c r="BT702" s="74"/>
      <c r="BU702" s="74"/>
      <c r="BV702" s="74"/>
      <c r="BW702" s="74"/>
      <c r="BX702" s="74"/>
      <c r="BY702" s="74"/>
      <c r="BZ702" s="74"/>
      <c r="CA702" s="74"/>
      <c r="CB702" s="74"/>
      <c r="CC702" s="74"/>
      <c r="CD702" s="74"/>
      <c r="CE702" s="74"/>
      <c r="CF702" s="74"/>
      <c r="CG702" s="74"/>
      <c r="CH702" s="74"/>
      <c r="CI702" s="74"/>
      <c r="CJ702" s="74"/>
      <c r="CK702" s="74"/>
      <c r="CL702" s="74"/>
      <c r="CM702" s="74"/>
      <c r="CN702" s="74"/>
      <c r="CO702" s="74"/>
      <c r="CP702" s="74"/>
      <c r="CQ702" s="74"/>
      <c r="CR702" s="74"/>
      <c r="CS702" s="74"/>
      <c r="CT702" s="74"/>
      <c r="CU702" s="74"/>
      <c r="CV702" s="74"/>
      <c r="CW702" s="74"/>
      <c r="CX702" s="74"/>
      <c r="CY702" s="74"/>
      <c r="CZ702" s="74"/>
      <c r="DA702" s="74"/>
      <c r="DB702" s="74"/>
      <c r="DC702" s="74"/>
    </row>
    <row r="703" spans="15:107" customFormat="1" x14ac:dyDescent="0.35">
      <c r="O703" s="76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  <c r="AS703" s="74"/>
      <c r="AT703" s="74"/>
      <c r="AU703" s="74"/>
      <c r="AV703" s="74"/>
      <c r="AW703" s="74"/>
      <c r="AX703" s="74"/>
      <c r="AY703" s="74"/>
      <c r="AZ703" s="74"/>
      <c r="BA703" s="74"/>
      <c r="BB703" s="74"/>
      <c r="BC703" s="74"/>
      <c r="BD703" s="74"/>
      <c r="BE703" s="74"/>
      <c r="BF703" s="74"/>
      <c r="BG703" s="74"/>
      <c r="BH703" s="74"/>
      <c r="BI703" s="74"/>
      <c r="BJ703" s="74"/>
      <c r="BK703" s="74"/>
      <c r="BL703" s="74"/>
      <c r="BM703" s="74"/>
      <c r="BN703" s="74"/>
      <c r="BO703" s="74"/>
      <c r="BP703" s="74"/>
      <c r="BQ703" s="74"/>
      <c r="BR703" s="74"/>
      <c r="BS703" s="74"/>
      <c r="BT703" s="74"/>
      <c r="BU703" s="74"/>
      <c r="BV703" s="74"/>
      <c r="BW703" s="74"/>
      <c r="BX703" s="74"/>
      <c r="BY703" s="74"/>
      <c r="BZ703" s="74"/>
      <c r="CA703" s="74"/>
      <c r="CB703" s="74"/>
      <c r="CC703" s="74"/>
      <c r="CD703" s="74"/>
      <c r="CE703" s="74"/>
      <c r="CF703" s="74"/>
      <c r="CG703" s="74"/>
      <c r="CH703" s="74"/>
      <c r="CI703" s="74"/>
      <c r="CJ703" s="74"/>
      <c r="CK703" s="74"/>
      <c r="CL703" s="74"/>
      <c r="CM703" s="74"/>
      <c r="CN703" s="74"/>
      <c r="CO703" s="74"/>
      <c r="CP703" s="74"/>
      <c r="CQ703" s="74"/>
      <c r="CR703" s="74"/>
      <c r="CS703" s="74"/>
      <c r="CT703" s="74"/>
      <c r="CU703" s="74"/>
      <c r="CV703" s="74"/>
      <c r="CW703" s="74"/>
      <c r="CX703" s="74"/>
      <c r="CY703" s="74"/>
      <c r="CZ703" s="74"/>
      <c r="DA703" s="74"/>
      <c r="DB703" s="74"/>
      <c r="DC703" s="74"/>
    </row>
    <row r="704" spans="15:107" customFormat="1" x14ac:dyDescent="0.35">
      <c r="O704" s="76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74"/>
      <c r="AT704" s="74"/>
      <c r="AU704" s="74"/>
      <c r="AV704" s="74"/>
      <c r="AW704" s="74"/>
      <c r="AX704" s="74"/>
      <c r="AY704" s="74"/>
      <c r="AZ704" s="74"/>
      <c r="BA704" s="74"/>
      <c r="BB704" s="74"/>
      <c r="BC704" s="74"/>
      <c r="BD704" s="74"/>
      <c r="BE704" s="74"/>
      <c r="BF704" s="74"/>
      <c r="BG704" s="74"/>
      <c r="BH704" s="74"/>
      <c r="BI704" s="74"/>
      <c r="BJ704" s="74"/>
      <c r="BK704" s="74"/>
      <c r="BL704" s="74"/>
      <c r="BM704" s="74"/>
      <c r="BN704" s="74"/>
      <c r="BO704" s="74"/>
      <c r="BP704" s="74"/>
      <c r="BQ704" s="74"/>
      <c r="BR704" s="74"/>
      <c r="BS704" s="74"/>
      <c r="BT704" s="74"/>
      <c r="BU704" s="74"/>
      <c r="BV704" s="74"/>
      <c r="BW704" s="74"/>
      <c r="BX704" s="74"/>
      <c r="BY704" s="74"/>
      <c r="BZ704" s="74"/>
      <c r="CA704" s="74"/>
      <c r="CB704" s="74"/>
      <c r="CC704" s="74"/>
      <c r="CD704" s="74"/>
      <c r="CE704" s="74"/>
      <c r="CF704" s="74"/>
      <c r="CG704" s="74"/>
      <c r="CH704" s="74"/>
      <c r="CI704" s="74"/>
      <c r="CJ704" s="74"/>
      <c r="CK704" s="74"/>
      <c r="CL704" s="74"/>
      <c r="CM704" s="74"/>
      <c r="CN704" s="74"/>
      <c r="CO704" s="74"/>
      <c r="CP704" s="74"/>
      <c r="CQ704" s="74"/>
      <c r="CR704" s="74"/>
      <c r="CS704" s="74"/>
      <c r="CT704" s="74"/>
      <c r="CU704" s="74"/>
      <c r="CV704" s="74"/>
      <c r="CW704" s="74"/>
      <c r="CX704" s="74"/>
      <c r="CY704" s="74"/>
      <c r="CZ704" s="74"/>
      <c r="DA704" s="74"/>
      <c r="DB704" s="74"/>
      <c r="DC704" s="74"/>
    </row>
    <row r="705" spans="15:107" customFormat="1" x14ac:dyDescent="0.35">
      <c r="O705" s="76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  <c r="AX705" s="74"/>
      <c r="AY705" s="74"/>
      <c r="AZ705" s="74"/>
      <c r="BA705" s="74"/>
      <c r="BB705" s="74"/>
      <c r="BC705" s="74"/>
      <c r="BD705" s="74"/>
      <c r="BE705" s="74"/>
      <c r="BF705" s="74"/>
      <c r="BG705" s="74"/>
      <c r="BH705" s="74"/>
      <c r="BI705" s="74"/>
      <c r="BJ705" s="74"/>
      <c r="BK705" s="74"/>
      <c r="BL705" s="74"/>
      <c r="BM705" s="74"/>
      <c r="BN705" s="74"/>
      <c r="BO705" s="74"/>
      <c r="BP705" s="74"/>
      <c r="BQ705" s="74"/>
      <c r="BR705" s="74"/>
      <c r="BS705" s="74"/>
      <c r="BT705" s="74"/>
      <c r="BU705" s="74"/>
      <c r="BV705" s="74"/>
      <c r="BW705" s="74"/>
      <c r="BX705" s="74"/>
      <c r="BY705" s="74"/>
      <c r="BZ705" s="74"/>
      <c r="CA705" s="74"/>
      <c r="CB705" s="74"/>
      <c r="CC705" s="74"/>
      <c r="CD705" s="74"/>
      <c r="CE705" s="74"/>
      <c r="CF705" s="74"/>
      <c r="CG705" s="74"/>
      <c r="CH705" s="74"/>
      <c r="CI705" s="74"/>
      <c r="CJ705" s="74"/>
      <c r="CK705" s="74"/>
      <c r="CL705" s="74"/>
      <c r="CM705" s="74"/>
      <c r="CN705" s="74"/>
      <c r="CO705" s="74"/>
      <c r="CP705" s="74"/>
      <c r="CQ705" s="74"/>
      <c r="CR705" s="74"/>
      <c r="CS705" s="74"/>
      <c r="CT705" s="74"/>
      <c r="CU705" s="74"/>
      <c r="CV705" s="74"/>
      <c r="CW705" s="74"/>
      <c r="CX705" s="74"/>
      <c r="CY705" s="74"/>
      <c r="CZ705" s="74"/>
      <c r="DA705" s="74"/>
      <c r="DB705" s="74"/>
      <c r="DC705" s="74"/>
    </row>
    <row r="706" spans="15:107" customFormat="1" x14ac:dyDescent="0.35">
      <c r="O706" s="76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74"/>
      <c r="AT706" s="74"/>
      <c r="AU706" s="74"/>
      <c r="AV706" s="74"/>
      <c r="AW706" s="74"/>
      <c r="AX706" s="74"/>
      <c r="AY706" s="74"/>
      <c r="AZ706" s="74"/>
      <c r="BA706" s="74"/>
      <c r="BB706" s="74"/>
      <c r="BC706" s="74"/>
      <c r="BD706" s="74"/>
      <c r="BE706" s="74"/>
      <c r="BF706" s="74"/>
      <c r="BG706" s="74"/>
      <c r="BH706" s="74"/>
      <c r="BI706" s="74"/>
      <c r="BJ706" s="74"/>
      <c r="BK706" s="74"/>
      <c r="BL706" s="74"/>
      <c r="BM706" s="74"/>
      <c r="BN706" s="74"/>
      <c r="BO706" s="74"/>
      <c r="BP706" s="74"/>
      <c r="BQ706" s="74"/>
      <c r="BR706" s="74"/>
      <c r="BS706" s="74"/>
      <c r="BT706" s="74"/>
      <c r="BU706" s="74"/>
      <c r="BV706" s="74"/>
      <c r="BW706" s="74"/>
      <c r="BX706" s="74"/>
      <c r="BY706" s="74"/>
      <c r="BZ706" s="74"/>
      <c r="CA706" s="74"/>
      <c r="CB706" s="74"/>
      <c r="CC706" s="74"/>
      <c r="CD706" s="74"/>
      <c r="CE706" s="74"/>
      <c r="CF706" s="74"/>
      <c r="CG706" s="74"/>
      <c r="CH706" s="74"/>
      <c r="CI706" s="74"/>
      <c r="CJ706" s="74"/>
      <c r="CK706" s="74"/>
      <c r="CL706" s="74"/>
      <c r="CM706" s="74"/>
      <c r="CN706" s="74"/>
      <c r="CO706" s="74"/>
      <c r="CP706" s="74"/>
      <c r="CQ706" s="74"/>
      <c r="CR706" s="74"/>
      <c r="CS706" s="74"/>
      <c r="CT706" s="74"/>
      <c r="CU706" s="74"/>
      <c r="CV706" s="74"/>
      <c r="CW706" s="74"/>
      <c r="CX706" s="74"/>
      <c r="CY706" s="74"/>
      <c r="CZ706" s="74"/>
      <c r="DA706" s="74"/>
      <c r="DB706" s="74"/>
      <c r="DC706" s="74"/>
    </row>
    <row r="707" spans="15:107" customFormat="1" x14ac:dyDescent="0.35">
      <c r="O707" s="76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74"/>
      <c r="AT707" s="74"/>
      <c r="AU707" s="74"/>
      <c r="AV707" s="74"/>
      <c r="AW707" s="74"/>
      <c r="AX707" s="74"/>
      <c r="AY707" s="74"/>
      <c r="AZ707" s="74"/>
      <c r="BA707" s="74"/>
      <c r="BB707" s="74"/>
      <c r="BC707" s="74"/>
      <c r="BD707" s="74"/>
      <c r="BE707" s="74"/>
      <c r="BF707" s="74"/>
      <c r="BG707" s="74"/>
      <c r="BH707" s="74"/>
      <c r="BI707" s="74"/>
      <c r="BJ707" s="74"/>
      <c r="BK707" s="74"/>
      <c r="BL707" s="74"/>
      <c r="BM707" s="74"/>
      <c r="BN707" s="74"/>
      <c r="BO707" s="74"/>
      <c r="BP707" s="74"/>
      <c r="BQ707" s="74"/>
      <c r="BR707" s="74"/>
      <c r="BS707" s="74"/>
      <c r="BT707" s="74"/>
      <c r="BU707" s="74"/>
      <c r="BV707" s="74"/>
      <c r="BW707" s="74"/>
      <c r="BX707" s="74"/>
      <c r="BY707" s="74"/>
      <c r="BZ707" s="74"/>
      <c r="CA707" s="74"/>
      <c r="CB707" s="74"/>
      <c r="CC707" s="74"/>
      <c r="CD707" s="74"/>
      <c r="CE707" s="74"/>
      <c r="CF707" s="74"/>
      <c r="CG707" s="74"/>
      <c r="CH707" s="74"/>
      <c r="CI707" s="74"/>
      <c r="CJ707" s="74"/>
      <c r="CK707" s="74"/>
      <c r="CL707" s="74"/>
      <c r="CM707" s="74"/>
      <c r="CN707" s="74"/>
      <c r="CO707" s="74"/>
      <c r="CP707" s="74"/>
      <c r="CQ707" s="74"/>
      <c r="CR707" s="74"/>
      <c r="CS707" s="74"/>
      <c r="CT707" s="74"/>
      <c r="CU707" s="74"/>
      <c r="CV707" s="74"/>
      <c r="CW707" s="74"/>
      <c r="CX707" s="74"/>
      <c r="CY707" s="74"/>
      <c r="CZ707" s="74"/>
      <c r="DA707" s="74"/>
      <c r="DB707" s="74"/>
      <c r="DC707" s="74"/>
    </row>
    <row r="708" spans="15:107" customFormat="1" x14ac:dyDescent="0.35">
      <c r="O708" s="76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74"/>
      <c r="AT708" s="74"/>
      <c r="AU708" s="74"/>
      <c r="AV708" s="74"/>
      <c r="AW708" s="74"/>
      <c r="AX708" s="74"/>
      <c r="AY708" s="74"/>
      <c r="AZ708" s="74"/>
      <c r="BA708" s="74"/>
      <c r="BB708" s="74"/>
      <c r="BC708" s="74"/>
      <c r="BD708" s="74"/>
      <c r="BE708" s="74"/>
      <c r="BF708" s="74"/>
      <c r="BG708" s="74"/>
      <c r="BH708" s="74"/>
      <c r="BI708" s="74"/>
      <c r="BJ708" s="74"/>
      <c r="BK708" s="74"/>
      <c r="BL708" s="74"/>
      <c r="BM708" s="74"/>
      <c r="BN708" s="74"/>
      <c r="BO708" s="74"/>
      <c r="BP708" s="74"/>
      <c r="BQ708" s="74"/>
      <c r="BR708" s="74"/>
      <c r="BS708" s="74"/>
      <c r="BT708" s="74"/>
      <c r="BU708" s="74"/>
      <c r="BV708" s="74"/>
      <c r="BW708" s="74"/>
      <c r="BX708" s="74"/>
      <c r="BY708" s="74"/>
      <c r="BZ708" s="74"/>
      <c r="CA708" s="74"/>
      <c r="CB708" s="74"/>
      <c r="CC708" s="74"/>
      <c r="CD708" s="74"/>
      <c r="CE708" s="74"/>
      <c r="CF708" s="74"/>
      <c r="CG708" s="74"/>
      <c r="CH708" s="74"/>
      <c r="CI708" s="74"/>
      <c r="CJ708" s="74"/>
      <c r="CK708" s="74"/>
      <c r="CL708" s="74"/>
      <c r="CM708" s="74"/>
      <c r="CN708" s="74"/>
      <c r="CO708" s="74"/>
      <c r="CP708" s="74"/>
      <c r="CQ708" s="74"/>
      <c r="CR708" s="74"/>
      <c r="CS708" s="74"/>
      <c r="CT708" s="74"/>
      <c r="CU708" s="74"/>
      <c r="CV708" s="74"/>
      <c r="CW708" s="74"/>
      <c r="CX708" s="74"/>
      <c r="CY708" s="74"/>
      <c r="CZ708" s="74"/>
      <c r="DA708" s="74"/>
      <c r="DB708" s="74"/>
      <c r="DC708" s="74"/>
    </row>
    <row r="709" spans="15:107" customFormat="1" x14ac:dyDescent="0.35">
      <c r="O709" s="76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  <c r="AS709" s="74"/>
      <c r="AT709" s="74"/>
      <c r="AU709" s="74"/>
      <c r="AV709" s="74"/>
      <c r="AW709" s="74"/>
      <c r="AX709" s="74"/>
      <c r="AY709" s="74"/>
      <c r="AZ709" s="74"/>
      <c r="BA709" s="74"/>
      <c r="BB709" s="74"/>
      <c r="BC709" s="74"/>
      <c r="BD709" s="74"/>
      <c r="BE709" s="74"/>
      <c r="BF709" s="74"/>
      <c r="BG709" s="74"/>
      <c r="BH709" s="74"/>
      <c r="BI709" s="74"/>
      <c r="BJ709" s="74"/>
      <c r="BK709" s="74"/>
      <c r="BL709" s="74"/>
      <c r="BM709" s="74"/>
      <c r="BN709" s="74"/>
      <c r="BO709" s="74"/>
      <c r="BP709" s="74"/>
      <c r="BQ709" s="74"/>
      <c r="BR709" s="74"/>
      <c r="BS709" s="74"/>
      <c r="BT709" s="74"/>
      <c r="BU709" s="74"/>
      <c r="BV709" s="74"/>
      <c r="BW709" s="74"/>
      <c r="BX709" s="74"/>
      <c r="BY709" s="74"/>
      <c r="BZ709" s="74"/>
      <c r="CA709" s="74"/>
      <c r="CB709" s="74"/>
      <c r="CC709" s="74"/>
      <c r="CD709" s="74"/>
      <c r="CE709" s="74"/>
      <c r="CF709" s="74"/>
      <c r="CG709" s="74"/>
      <c r="CH709" s="74"/>
      <c r="CI709" s="74"/>
      <c r="CJ709" s="74"/>
      <c r="CK709" s="74"/>
      <c r="CL709" s="74"/>
      <c r="CM709" s="74"/>
      <c r="CN709" s="74"/>
      <c r="CO709" s="74"/>
      <c r="CP709" s="74"/>
      <c r="CQ709" s="74"/>
      <c r="CR709" s="74"/>
      <c r="CS709" s="74"/>
      <c r="CT709" s="74"/>
      <c r="CU709" s="74"/>
      <c r="CV709" s="74"/>
      <c r="CW709" s="74"/>
      <c r="CX709" s="74"/>
      <c r="CY709" s="74"/>
      <c r="CZ709" s="74"/>
      <c r="DA709" s="74"/>
      <c r="DB709" s="74"/>
      <c r="DC709" s="74"/>
    </row>
    <row r="710" spans="15:107" customFormat="1" x14ac:dyDescent="0.35">
      <c r="O710" s="76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  <c r="AX710" s="74"/>
      <c r="AY710" s="74"/>
      <c r="AZ710" s="74"/>
      <c r="BA710" s="74"/>
      <c r="BB710" s="74"/>
      <c r="BC710" s="74"/>
      <c r="BD710" s="74"/>
      <c r="BE710" s="74"/>
      <c r="BF710" s="74"/>
      <c r="BG710" s="74"/>
      <c r="BH710" s="74"/>
      <c r="BI710" s="74"/>
      <c r="BJ710" s="74"/>
      <c r="BK710" s="74"/>
      <c r="BL710" s="74"/>
      <c r="BM710" s="74"/>
      <c r="BN710" s="74"/>
      <c r="BO710" s="74"/>
      <c r="BP710" s="74"/>
      <c r="BQ710" s="74"/>
      <c r="BR710" s="74"/>
      <c r="BS710" s="74"/>
      <c r="BT710" s="74"/>
      <c r="BU710" s="74"/>
      <c r="BV710" s="74"/>
      <c r="BW710" s="74"/>
      <c r="BX710" s="74"/>
      <c r="BY710" s="74"/>
      <c r="BZ710" s="74"/>
      <c r="CA710" s="74"/>
      <c r="CB710" s="74"/>
      <c r="CC710" s="74"/>
      <c r="CD710" s="74"/>
      <c r="CE710" s="74"/>
      <c r="CF710" s="74"/>
      <c r="CG710" s="74"/>
      <c r="CH710" s="74"/>
      <c r="CI710" s="74"/>
      <c r="CJ710" s="74"/>
      <c r="CK710" s="74"/>
      <c r="CL710" s="74"/>
      <c r="CM710" s="74"/>
      <c r="CN710" s="74"/>
      <c r="CO710" s="74"/>
      <c r="CP710" s="74"/>
      <c r="CQ710" s="74"/>
      <c r="CR710" s="74"/>
      <c r="CS710" s="74"/>
      <c r="CT710" s="74"/>
      <c r="CU710" s="74"/>
      <c r="CV710" s="74"/>
      <c r="CW710" s="74"/>
      <c r="CX710" s="74"/>
      <c r="CY710" s="74"/>
      <c r="CZ710" s="74"/>
      <c r="DA710" s="74"/>
      <c r="DB710" s="74"/>
      <c r="DC710" s="74"/>
    </row>
    <row r="711" spans="15:107" customFormat="1" x14ac:dyDescent="0.35">
      <c r="O711" s="76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  <c r="AS711" s="74"/>
      <c r="AT711" s="74"/>
      <c r="AU711" s="74"/>
      <c r="AV711" s="74"/>
      <c r="AW711" s="74"/>
      <c r="AX711" s="74"/>
      <c r="AY711" s="74"/>
      <c r="AZ711" s="74"/>
      <c r="BA711" s="74"/>
      <c r="BB711" s="74"/>
      <c r="BC711" s="74"/>
      <c r="BD711" s="74"/>
      <c r="BE711" s="74"/>
      <c r="BF711" s="74"/>
      <c r="BG711" s="74"/>
      <c r="BH711" s="74"/>
      <c r="BI711" s="74"/>
      <c r="BJ711" s="74"/>
      <c r="BK711" s="74"/>
      <c r="BL711" s="74"/>
      <c r="BM711" s="74"/>
      <c r="BN711" s="74"/>
      <c r="BO711" s="74"/>
      <c r="BP711" s="74"/>
      <c r="BQ711" s="74"/>
      <c r="BR711" s="74"/>
      <c r="BS711" s="74"/>
      <c r="BT711" s="74"/>
      <c r="BU711" s="74"/>
      <c r="BV711" s="74"/>
      <c r="BW711" s="74"/>
      <c r="BX711" s="74"/>
      <c r="BY711" s="74"/>
      <c r="BZ711" s="74"/>
      <c r="CA711" s="74"/>
      <c r="CB711" s="74"/>
      <c r="CC711" s="74"/>
      <c r="CD711" s="74"/>
      <c r="CE711" s="74"/>
      <c r="CF711" s="74"/>
      <c r="CG711" s="74"/>
      <c r="CH711" s="74"/>
      <c r="CI711" s="74"/>
      <c r="CJ711" s="74"/>
      <c r="CK711" s="74"/>
      <c r="CL711" s="74"/>
      <c r="CM711" s="74"/>
      <c r="CN711" s="74"/>
      <c r="CO711" s="74"/>
      <c r="CP711" s="74"/>
      <c r="CQ711" s="74"/>
      <c r="CR711" s="74"/>
      <c r="CS711" s="74"/>
      <c r="CT711" s="74"/>
      <c r="CU711" s="74"/>
      <c r="CV711" s="74"/>
      <c r="CW711" s="74"/>
      <c r="CX711" s="74"/>
      <c r="CY711" s="74"/>
      <c r="CZ711" s="74"/>
      <c r="DA711" s="74"/>
      <c r="DB711" s="74"/>
      <c r="DC711" s="74"/>
    </row>
    <row r="712" spans="15:107" customFormat="1" x14ac:dyDescent="0.35">
      <c r="O712" s="76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74"/>
      <c r="AT712" s="74"/>
      <c r="AU712" s="74"/>
      <c r="AV712" s="74"/>
      <c r="AW712" s="74"/>
      <c r="AX712" s="74"/>
      <c r="AY712" s="74"/>
      <c r="AZ712" s="74"/>
      <c r="BA712" s="74"/>
      <c r="BB712" s="74"/>
      <c r="BC712" s="74"/>
      <c r="BD712" s="74"/>
      <c r="BE712" s="74"/>
      <c r="BF712" s="74"/>
      <c r="BG712" s="74"/>
      <c r="BH712" s="74"/>
      <c r="BI712" s="74"/>
      <c r="BJ712" s="74"/>
      <c r="BK712" s="74"/>
      <c r="BL712" s="74"/>
      <c r="BM712" s="74"/>
      <c r="BN712" s="74"/>
      <c r="BO712" s="74"/>
      <c r="BP712" s="74"/>
      <c r="BQ712" s="74"/>
      <c r="BR712" s="74"/>
      <c r="BS712" s="74"/>
      <c r="BT712" s="74"/>
      <c r="BU712" s="74"/>
      <c r="BV712" s="74"/>
      <c r="BW712" s="74"/>
      <c r="BX712" s="74"/>
      <c r="BY712" s="74"/>
      <c r="BZ712" s="74"/>
      <c r="CA712" s="74"/>
      <c r="CB712" s="74"/>
      <c r="CC712" s="74"/>
      <c r="CD712" s="74"/>
      <c r="CE712" s="74"/>
      <c r="CF712" s="74"/>
      <c r="CG712" s="74"/>
      <c r="CH712" s="74"/>
      <c r="CI712" s="74"/>
      <c r="CJ712" s="74"/>
      <c r="CK712" s="74"/>
      <c r="CL712" s="74"/>
      <c r="CM712" s="74"/>
      <c r="CN712" s="74"/>
      <c r="CO712" s="74"/>
      <c r="CP712" s="74"/>
      <c r="CQ712" s="74"/>
      <c r="CR712" s="74"/>
      <c r="CS712" s="74"/>
      <c r="CT712" s="74"/>
      <c r="CU712" s="74"/>
      <c r="CV712" s="74"/>
      <c r="CW712" s="74"/>
      <c r="CX712" s="74"/>
      <c r="CY712" s="74"/>
      <c r="CZ712" s="74"/>
      <c r="DA712" s="74"/>
      <c r="DB712" s="74"/>
      <c r="DC712" s="74"/>
    </row>
    <row r="713" spans="15:107" customFormat="1" x14ac:dyDescent="0.35">
      <c r="O713" s="76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74"/>
      <c r="AT713" s="74"/>
      <c r="AU713" s="74"/>
      <c r="AV713" s="74"/>
      <c r="AW713" s="74"/>
      <c r="AX713" s="74"/>
      <c r="AY713" s="74"/>
      <c r="AZ713" s="74"/>
      <c r="BA713" s="74"/>
      <c r="BB713" s="74"/>
      <c r="BC713" s="74"/>
      <c r="BD713" s="74"/>
      <c r="BE713" s="74"/>
      <c r="BF713" s="74"/>
      <c r="BG713" s="74"/>
      <c r="BH713" s="74"/>
      <c r="BI713" s="74"/>
      <c r="BJ713" s="74"/>
      <c r="BK713" s="74"/>
      <c r="BL713" s="74"/>
      <c r="BM713" s="74"/>
      <c r="BN713" s="74"/>
      <c r="BO713" s="74"/>
      <c r="BP713" s="74"/>
      <c r="BQ713" s="74"/>
      <c r="BR713" s="74"/>
      <c r="BS713" s="74"/>
      <c r="BT713" s="74"/>
      <c r="BU713" s="74"/>
      <c r="BV713" s="74"/>
      <c r="BW713" s="74"/>
      <c r="BX713" s="74"/>
      <c r="BY713" s="74"/>
      <c r="BZ713" s="74"/>
      <c r="CA713" s="74"/>
      <c r="CB713" s="74"/>
      <c r="CC713" s="74"/>
      <c r="CD713" s="74"/>
      <c r="CE713" s="74"/>
      <c r="CF713" s="74"/>
      <c r="CG713" s="74"/>
      <c r="CH713" s="74"/>
      <c r="CI713" s="74"/>
      <c r="CJ713" s="74"/>
      <c r="CK713" s="74"/>
      <c r="CL713" s="74"/>
      <c r="CM713" s="74"/>
      <c r="CN713" s="74"/>
      <c r="CO713" s="74"/>
      <c r="CP713" s="74"/>
      <c r="CQ713" s="74"/>
      <c r="CR713" s="74"/>
      <c r="CS713" s="74"/>
      <c r="CT713" s="74"/>
      <c r="CU713" s="74"/>
      <c r="CV713" s="74"/>
      <c r="CW713" s="74"/>
      <c r="CX713" s="74"/>
      <c r="CY713" s="74"/>
      <c r="CZ713" s="74"/>
      <c r="DA713" s="74"/>
      <c r="DB713" s="74"/>
      <c r="DC713" s="74"/>
    </row>
    <row r="714" spans="15:107" customFormat="1" x14ac:dyDescent="0.35">
      <c r="O714" s="76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  <c r="AS714" s="74"/>
      <c r="AT714" s="74"/>
      <c r="AU714" s="74"/>
      <c r="AV714" s="74"/>
      <c r="AW714" s="74"/>
      <c r="AX714" s="74"/>
      <c r="AY714" s="74"/>
      <c r="AZ714" s="74"/>
      <c r="BA714" s="74"/>
      <c r="BB714" s="74"/>
      <c r="BC714" s="74"/>
      <c r="BD714" s="74"/>
      <c r="BE714" s="74"/>
      <c r="BF714" s="74"/>
      <c r="BG714" s="74"/>
      <c r="BH714" s="74"/>
      <c r="BI714" s="74"/>
      <c r="BJ714" s="74"/>
      <c r="BK714" s="74"/>
      <c r="BL714" s="74"/>
      <c r="BM714" s="74"/>
      <c r="BN714" s="74"/>
      <c r="BO714" s="74"/>
      <c r="BP714" s="74"/>
      <c r="BQ714" s="74"/>
      <c r="BR714" s="74"/>
      <c r="BS714" s="74"/>
      <c r="BT714" s="74"/>
      <c r="BU714" s="74"/>
      <c r="BV714" s="74"/>
      <c r="BW714" s="74"/>
      <c r="BX714" s="74"/>
      <c r="BY714" s="74"/>
      <c r="BZ714" s="74"/>
      <c r="CA714" s="74"/>
      <c r="CB714" s="74"/>
      <c r="CC714" s="74"/>
      <c r="CD714" s="74"/>
      <c r="CE714" s="74"/>
      <c r="CF714" s="74"/>
      <c r="CG714" s="74"/>
      <c r="CH714" s="74"/>
      <c r="CI714" s="74"/>
      <c r="CJ714" s="74"/>
      <c r="CK714" s="74"/>
      <c r="CL714" s="74"/>
      <c r="CM714" s="74"/>
      <c r="CN714" s="74"/>
      <c r="CO714" s="74"/>
      <c r="CP714" s="74"/>
      <c r="CQ714" s="74"/>
      <c r="CR714" s="74"/>
      <c r="CS714" s="74"/>
      <c r="CT714" s="74"/>
      <c r="CU714" s="74"/>
      <c r="CV714" s="74"/>
      <c r="CW714" s="74"/>
      <c r="CX714" s="74"/>
      <c r="CY714" s="74"/>
      <c r="CZ714" s="74"/>
      <c r="DA714" s="74"/>
      <c r="DB714" s="74"/>
      <c r="DC714" s="74"/>
    </row>
    <row r="715" spans="15:107" customFormat="1" x14ac:dyDescent="0.35">
      <c r="O715" s="76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74"/>
      <c r="AT715" s="74"/>
      <c r="AU715" s="74"/>
      <c r="AV715" s="74"/>
      <c r="AW715" s="74"/>
      <c r="AX715" s="74"/>
      <c r="AY715" s="74"/>
      <c r="AZ715" s="74"/>
      <c r="BA715" s="74"/>
      <c r="BB715" s="74"/>
      <c r="BC715" s="74"/>
      <c r="BD715" s="74"/>
      <c r="BE715" s="74"/>
      <c r="BF715" s="74"/>
      <c r="BG715" s="74"/>
      <c r="BH715" s="74"/>
      <c r="BI715" s="74"/>
      <c r="BJ715" s="74"/>
      <c r="BK715" s="74"/>
      <c r="BL715" s="74"/>
      <c r="BM715" s="74"/>
      <c r="BN715" s="74"/>
      <c r="BO715" s="74"/>
      <c r="BP715" s="74"/>
      <c r="BQ715" s="74"/>
      <c r="BR715" s="74"/>
      <c r="BS715" s="74"/>
      <c r="BT715" s="74"/>
      <c r="BU715" s="74"/>
      <c r="BV715" s="74"/>
      <c r="BW715" s="74"/>
      <c r="BX715" s="74"/>
      <c r="BY715" s="74"/>
      <c r="BZ715" s="74"/>
      <c r="CA715" s="74"/>
      <c r="CB715" s="74"/>
      <c r="CC715" s="74"/>
      <c r="CD715" s="74"/>
      <c r="CE715" s="74"/>
      <c r="CF715" s="74"/>
      <c r="CG715" s="74"/>
      <c r="CH715" s="74"/>
      <c r="CI715" s="74"/>
      <c r="CJ715" s="74"/>
      <c r="CK715" s="74"/>
      <c r="CL715" s="74"/>
      <c r="CM715" s="74"/>
      <c r="CN715" s="74"/>
      <c r="CO715" s="74"/>
      <c r="CP715" s="74"/>
      <c r="CQ715" s="74"/>
      <c r="CR715" s="74"/>
      <c r="CS715" s="74"/>
      <c r="CT715" s="74"/>
      <c r="CU715" s="74"/>
      <c r="CV715" s="74"/>
      <c r="CW715" s="74"/>
      <c r="CX715" s="74"/>
      <c r="CY715" s="74"/>
      <c r="CZ715" s="74"/>
      <c r="DA715" s="74"/>
      <c r="DB715" s="74"/>
      <c r="DC715" s="74"/>
    </row>
    <row r="716" spans="15:107" customFormat="1" x14ac:dyDescent="0.35">
      <c r="O716" s="76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  <c r="AZ716" s="74"/>
      <c r="BA716" s="74"/>
      <c r="BB716" s="74"/>
      <c r="BC716" s="74"/>
      <c r="BD716" s="74"/>
      <c r="BE716" s="74"/>
      <c r="BF716" s="74"/>
      <c r="BG716" s="74"/>
      <c r="BH716" s="74"/>
      <c r="BI716" s="74"/>
      <c r="BJ716" s="74"/>
      <c r="BK716" s="74"/>
      <c r="BL716" s="74"/>
      <c r="BM716" s="74"/>
      <c r="BN716" s="74"/>
      <c r="BO716" s="74"/>
      <c r="BP716" s="74"/>
      <c r="BQ716" s="74"/>
      <c r="BR716" s="74"/>
      <c r="BS716" s="74"/>
      <c r="BT716" s="74"/>
      <c r="BU716" s="74"/>
      <c r="BV716" s="74"/>
      <c r="BW716" s="74"/>
      <c r="BX716" s="74"/>
      <c r="BY716" s="74"/>
      <c r="BZ716" s="74"/>
      <c r="CA716" s="74"/>
      <c r="CB716" s="74"/>
      <c r="CC716" s="74"/>
      <c r="CD716" s="74"/>
      <c r="CE716" s="74"/>
      <c r="CF716" s="74"/>
      <c r="CG716" s="74"/>
      <c r="CH716" s="74"/>
      <c r="CI716" s="74"/>
      <c r="CJ716" s="74"/>
      <c r="CK716" s="74"/>
      <c r="CL716" s="74"/>
      <c r="CM716" s="74"/>
      <c r="CN716" s="74"/>
      <c r="CO716" s="74"/>
      <c r="CP716" s="74"/>
      <c r="CQ716" s="74"/>
      <c r="CR716" s="74"/>
      <c r="CS716" s="74"/>
      <c r="CT716" s="74"/>
      <c r="CU716" s="74"/>
      <c r="CV716" s="74"/>
      <c r="CW716" s="74"/>
      <c r="CX716" s="74"/>
      <c r="CY716" s="74"/>
      <c r="CZ716" s="74"/>
      <c r="DA716" s="74"/>
      <c r="DB716" s="74"/>
      <c r="DC716" s="74"/>
    </row>
    <row r="717" spans="15:107" customFormat="1" x14ac:dyDescent="0.35">
      <c r="O717" s="76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74"/>
      <c r="AT717" s="74"/>
      <c r="AU717" s="74"/>
      <c r="AV717" s="74"/>
      <c r="AW717" s="74"/>
      <c r="AX717" s="74"/>
      <c r="AY717" s="74"/>
      <c r="AZ717" s="74"/>
      <c r="BA717" s="74"/>
      <c r="BB717" s="74"/>
      <c r="BC717" s="74"/>
      <c r="BD717" s="74"/>
      <c r="BE717" s="74"/>
      <c r="BF717" s="74"/>
      <c r="BG717" s="74"/>
      <c r="BH717" s="74"/>
      <c r="BI717" s="74"/>
      <c r="BJ717" s="74"/>
      <c r="BK717" s="74"/>
      <c r="BL717" s="74"/>
      <c r="BM717" s="74"/>
      <c r="BN717" s="74"/>
      <c r="BO717" s="74"/>
      <c r="BP717" s="74"/>
      <c r="BQ717" s="74"/>
      <c r="BR717" s="74"/>
      <c r="BS717" s="74"/>
      <c r="BT717" s="74"/>
      <c r="BU717" s="74"/>
      <c r="BV717" s="74"/>
      <c r="BW717" s="74"/>
      <c r="BX717" s="74"/>
      <c r="BY717" s="74"/>
      <c r="BZ717" s="74"/>
      <c r="CA717" s="74"/>
      <c r="CB717" s="74"/>
      <c r="CC717" s="74"/>
      <c r="CD717" s="74"/>
      <c r="CE717" s="74"/>
      <c r="CF717" s="74"/>
      <c r="CG717" s="74"/>
      <c r="CH717" s="74"/>
      <c r="CI717" s="74"/>
      <c r="CJ717" s="74"/>
      <c r="CK717" s="74"/>
      <c r="CL717" s="74"/>
      <c r="CM717" s="74"/>
      <c r="CN717" s="74"/>
      <c r="CO717" s="74"/>
      <c r="CP717" s="74"/>
      <c r="CQ717" s="74"/>
      <c r="CR717" s="74"/>
      <c r="CS717" s="74"/>
      <c r="CT717" s="74"/>
      <c r="CU717" s="74"/>
      <c r="CV717" s="74"/>
      <c r="CW717" s="74"/>
      <c r="CX717" s="74"/>
      <c r="CY717" s="74"/>
      <c r="CZ717" s="74"/>
      <c r="DA717" s="74"/>
      <c r="DB717" s="74"/>
      <c r="DC717" s="74"/>
    </row>
    <row r="718" spans="15:107" customFormat="1" x14ac:dyDescent="0.35">
      <c r="O718" s="76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  <c r="AS718" s="74"/>
      <c r="AT718" s="74"/>
      <c r="AU718" s="74"/>
      <c r="AV718" s="74"/>
      <c r="AW718" s="74"/>
      <c r="AX718" s="74"/>
      <c r="AY718" s="74"/>
      <c r="AZ718" s="74"/>
      <c r="BA718" s="74"/>
      <c r="BB718" s="74"/>
      <c r="BC718" s="74"/>
      <c r="BD718" s="74"/>
      <c r="BE718" s="74"/>
      <c r="BF718" s="74"/>
      <c r="BG718" s="74"/>
      <c r="BH718" s="74"/>
      <c r="BI718" s="74"/>
      <c r="BJ718" s="74"/>
      <c r="BK718" s="74"/>
      <c r="BL718" s="74"/>
      <c r="BM718" s="74"/>
      <c r="BN718" s="74"/>
      <c r="BO718" s="74"/>
      <c r="BP718" s="74"/>
      <c r="BQ718" s="74"/>
      <c r="BR718" s="74"/>
      <c r="BS718" s="74"/>
      <c r="BT718" s="74"/>
      <c r="BU718" s="74"/>
      <c r="BV718" s="74"/>
      <c r="BW718" s="74"/>
      <c r="BX718" s="74"/>
      <c r="BY718" s="74"/>
      <c r="BZ718" s="74"/>
      <c r="CA718" s="74"/>
      <c r="CB718" s="74"/>
      <c r="CC718" s="74"/>
      <c r="CD718" s="74"/>
      <c r="CE718" s="74"/>
      <c r="CF718" s="74"/>
      <c r="CG718" s="74"/>
      <c r="CH718" s="74"/>
      <c r="CI718" s="74"/>
      <c r="CJ718" s="74"/>
      <c r="CK718" s="74"/>
      <c r="CL718" s="74"/>
      <c r="CM718" s="74"/>
      <c r="CN718" s="74"/>
      <c r="CO718" s="74"/>
      <c r="CP718" s="74"/>
      <c r="CQ718" s="74"/>
      <c r="CR718" s="74"/>
      <c r="CS718" s="74"/>
      <c r="CT718" s="74"/>
      <c r="CU718" s="74"/>
      <c r="CV718" s="74"/>
      <c r="CW718" s="74"/>
      <c r="CX718" s="74"/>
      <c r="CY718" s="74"/>
      <c r="CZ718" s="74"/>
      <c r="DA718" s="74"/>
      <c r="DB718" s="74"/>
      <c r="DC718" s="74"/>
    </row>
    <row r="719" spans="15:107" customFormat="1" x14ac:dyDescent="0.35">
      <c r="O719" s="76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74"/>
      <c r="AT719" s="74"/>
      <c r="AU719" s="74"/>
      <c r="AV719" s="74"/>
      <c r="AW719" s="74"/>
      <c r="AX719" s="74"/>
      <c r="AY719" s="74"/>
      <c r="AZ719" s="74"/>
      <c r="BA719" s="74"/>
      <c r="BB719" s="74"/>
      <c r="BC719" s="74"/>
      <c r="BD719" s="74"/>
      <c r="BE719" s="74"/>
      <c r="BF719" s="74"/>
      <c r="BG719" s="74"/>
      <c r="BH719" s="74"/>
      <c r="BI719" s="74"/>
      <c r="BJ719" s="74"/>
      <c r="BK719" s="74"/>
      <c r="BL719" s="74"/>
      <c r="BM719" s="74"/>
      <c r="BN719" s="74"/>
      <c r="BO719" s="74"/>
      <c r="BP719" s="74"/>
      <c r="BQ719" s="74"/>
      <c r="BR719" s="74"/>
      <c r="BS719" s="74"/>
      <c r="BT719" s="74"/>
      <c r="BU719" s="74"/>
      <c r="BV719" s="74"/>
      <c r="BW719" s="74"/>
      <c r="BX719" s="74"/>
      <c r="BY719" s="74"/>
      <c r="BZ719" s="74"/>
      <c r="CA719" s="74"/>
      <c r="CB719" s="74"/>
      <c r="CC719" s="74"/>
      <c r="CD719" s="74"/>
      <c r="CE719" s="74"/>
      <c r="CF719" s="74"/>
      <c r="CG719" s="74"/>
      <c r="CH719" s="74"/>
      <c r="CI719" s="74"/>
      <c r="CJ719" s="74"/>
      <c r="CK719" s="74"/>
      <c r="CL719" s="74"/>
      <c r="CM719" s="74"/>
      <c r="CN719" s="74"/>
      <c r="CO719" s="74"/>
      <c r="CP719" s="74"/>
      <c r="CQ719" s="74"/>
      <c r="CR719" s="74"/>
      <c r="CS719" s="74"/>
      <c r="CT719" s="74"/>
      <c r="CU719" s="74"/>
      <c r="CV719" s="74"/>
      <c r="CW719" s="74"/>
      <c r="CX719" s="74"/>
      <c r="CY719" s="74"/>
      <c r="CZ719" s="74"/>
      <c r="DA719" s="74"/>
      <c r="DB719" s="74"/>
      <c r="DC719" s="74"/>
    </row>
    <row r="720" spans="15:107" customFormat="1" x14ac:dyDescent="0.35">
      <c r="O720" s="76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  <c r="AW720" s="74"/>
      <c r="AX720" s="74"/>
      <c r="AY720" s="74"/>
      <c r="AZ720" s="74"/>
      <c r="BA720" s="74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74"/>
      <c r="BM720" s="74"/>
      <c r="BN720" s="74"/>
      <c r="BO720" s="74"/>
      <c r="BP720" s="74"/>
      <c r="BQ720" s="74"/>
      <c r="BR720" s="74"/>
      <c r="BS720" s="74"/>
      <c r="BT720" s="74"/>
      <c r="BU720" s="74"/>
      <c r="BV720" s="74"/>
      <c r="BW720" s="74"/>
      <c r="BX720" s="74"/>
      <c r="BY720" s="74"/>
      <c r="BZ720" s="74"/>
      <c r="CA720" s="74"/>
      <c r="CB720" s="74"/>
      <c r="CC720" s="74"/>
      <c r="CD720" s="74"/>
      <c r="CE720" s="74"/>
      <c r="CF720" s="74"/>
      <c r="CG720" s="74"/>
      <c r="CH720" s="74"/>
      <c r="CI720" s="74"/>
      <c r="CJ720" s="74"/>
      <c r="CK720" s="74"/>
      <c r="CL720" s="74"/>
      <c r="CM720" s="74"/>
      <c r="CN720" s="74"/>
      <c r="CO720" s="74"/>
      <c r="CP720" s="74"/>
      <c r="CQ720" s="74"/>
      <c r="CR720" s="74"/>
      <c r="CS720" s="74"/>
      <c r="CT720" s="74"/>
      <c r="CU720" s="74"/>
      <c r="CV720" s="74"/>
      <c r="CW720" s="74"/>
      <c r="CX720" s="74"/>
      <c r="CY720" s="74"/>
      <c r="CZ720" s="74"/>
      <c r="DA720" s="74"/>
      <c r="DB720" s="74"/>
      <c r="DC720" s="74"/>
    </row>
  </sheetData>
  <sheetProtection password="EE2A" sheet="1" objects="1" scenarios="1"/>
  <mergeCells count="42">
    <mergeCell ref="K101:L101"/>
    <mergeCell ref="K84:L84"/>
    <mergeCell ref="K85:L85"/>
    <mergeCell ref="A55:N55"/>
    <mergeCell ref="B70:E70"/>
    <mergeCell ref="B71:E71"/>
    <mergeCell ref="A75:C75"/>
    <mergeCell ref="K75:L75"/>
    <mergeCell ref="A77:C77"/>
    <mergeCell ref="A79:C79"/>
    <mergeCell ref="A81:C81"/>
    <mergeCell ref="K78:L78"/>
    <mergeCell ref="K77:L77"/>
    <mergeCell ref="A86:C86"/>
    <mergeCell ref="A88:C88"/>
    <mergeCell ref="A90:C90"/>
    <mergeCell ref="K91:M91"/>
    <mergeCell ref="A83:C83"/>
    <mergeCell ref="A9:N9"/>
    <mergeCell ref="C12:G12"/>
    <mergeCell ref="I12:M12"/>
    <mergeCell ref="A13:K13"/>
    <mergeCell ref="A15:N15"/>
    <mergeCell ref="I17:M17"/>
    <mergeCell ref="A73:C73"/>
    <mergeCell ref="K83:L83"/>
    <mergeCell ref="K71:L71"/>
    <mergeCell ref="P1:X1"/>
    <mergeCell ref="P3:X3"/>
    <mergeCell ref="P67:X67"/>
    <mergeCell ref="K76:L76"/>
    <mergeCell ref="A57:N57"/>
    <mergeCell ref="A4:L4"/>
    <mergeCell ref="J6:N6"/>
    <mergeCell ref="A29:N29"/>
    <mergeCell ref="K1:N1"/>
    <mergeCell ref="A8:N8"/>
    <mergeCell ref="C10:G10"/>
    <mergeCell ref="I10:M10"/>
    <mergeCell ref="C11:G11"/>
    <mergeCell ref="I11:M11"/>
    <mergeCell ref="A14:N14"/>
  </mergeCells>
  <dataValidations count="9">
    <dataValidation type="whole" operator="greaterThanOrEqual" allowBlank="1" showInputMessage="1" showErrorMessage="1" errorTitle="INVALID DATA" error="MINIMUM 1.00 INCHES CLEARANCE SPACE BETWEEN TOP OF CARFRAME TO SHEAVE GUIDE " sqref="E28" xr:uid="{00000000-0002-0000-0000-000000000000}">
      <formula1>1</formula1>
    </dataValidation>
    <dataValidation type="whole" allowBlank="1" showInputMessage="1" showErrorMessage="1" errorTitle="INVALID DATA" error="MAXIMUM TRAVEL 498.00&quot;_x000a_MINIMUM TRAVEL 75.00&quot;" sqref="F21" xr:uid="{00000000-0002-0000-0000-000001000000}">
      <formula1>75</formula1>
      <formula2>498</formula2>
    </dataValidation>
    <dataValidation type="decimal" operator="lessThanOrEqual" allowBlank="1" showInputMessage="1" showErrorMessage="1" errorTitle="INVALID DATA" error="MAXIMUM CAB HEIGHT 99.00&quot;_x000a_MINIMUM CAB HEIGHT 82.00&quot;_x000a__x000a_" sqref="E23" xr:uid="{00000000-0002-0000-0000-000002000000}">
      <formula1>99</formula1>
    </dataValidation>
    <dataValidation allowBlank="1" showInputMessage="1" showErrorMessage="1" errorTitle="INVALID DATA" error="MAXIMUM TRAVEL 498.00&quot;_x000a_MINIMUM TRAVEL 75.00&quot;" sqref="E21" xr:uid="{00000000-0002-0000-0000-000003000000}"/>
    <dataValidation type="whole" allowBlank="1" showInputMessage="1" showErrorMessage="1" errorTitle="INVALID DATA" error="MAXIMUM PIT DEPTH 24.00&quot;_x000a_MINIMUM PIT DEPTH 9.00&quot;" sqref="F20" xr:uid="{00000000-0002-0000-0000-000004000000}">
      <formula1>9</formula1>
      <formula2>24</formula2>
    </dataValidation>
    <dataValidation type="decimal" operator="greaterThanOrEqual" allowBlank="1" showInputMessage="1" showErrorMessage="1" errorTitle="INVALID DATA" error="MINIMUM PIT DEPTH 8.00&quot;" sqref="E20" xr:uid="{00000000-0002-0000-0000-000005000000}">
      <formula1>8</formula1>
    </dataValidation>
    <dataValidation operator="greaterThanOrEqual" allowBlank="1" showInputMessage="1" showErrorMessage="1" errorTitle="INVALID DATA" error="MINIMUM PLATFORM THICKNESS 1.00&quot;" sqref="E19" xr:uid="{00000000-0002-0000-0000-000006000000}"/>
    <dataValidation type="whole" operator="greaterThanOrEqual" allowBlank="1" showInputMessage="1" showErrorMessage="1" errorTitle="INVALID DATA" error="MINIMUM TOP OVER TRAVEL IS 3.00&quot;_x000a_" sqref="E18" xr:uid="{00000000-0002-0000-0000-000007000000}">
      <formula1>3</formula1>
    </dataValidation>
    <dataValidation type="whole" operator="greaterThanOrEqual" allowBlank="1" showInputMessage="1" showErrorMessage="1" errorTitle="INVALID DATA" error="MINIMUM TOP OVER TRAVEL IS 4.00&quot;_x000a_" sqref="F18" xr:uid="{00000000-0002-0000-0000-000008000000}">
      <formula1>4</formula1>
    </dataValidation>
  </dataValidations>
  <printOptions horizontalCentered="1" verticalCentered="1"/>
  <pageMargins left="0.36" right="0.4" top="0.54" bottom="0.42" header="0.31496062992125984" footer="0.31496062992125984"/>
  <pageSetup scale="93" orientation="portrait" r:id="rId1"/>
  <colBreaks count="1" manualBreakCount="1">
    <brk id="15" max="66" man="1"/>
  </colBreaks>
  <ignoredErrors>
    <ignoredError sqref="E77 E86 E79 E81 E88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5d0062-5bba-460e-b013-1747c0f6213d" xsi:nil="true"/>
    <lcf76f155ced4ddcb4097134ff3c332f xmlns="70767a28-36b3-4815-851a-dc79c68cdb47">
      <Terms xmlns="http://schemas.microsoft.com/office/infopath/2007/PartnerControls"/>
    </lcf76f155ced4ddcb4097134ff3c332f>
    <Date xmlns="70767a28-36b3-4815-851a-dc79c68cdb47" xsi:nil="true"/>
    <PERSON xmlns="70767a28-36b3-4815-851a-dc79c68cdb47">
      <UserInfo>
        <DisplayName/>
        <AccountId xsi:nil="true"/>
        <AccountType/>
      </UserInfo>
    </PERSO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6A941BDBF874498344359A16557A6F" ma:contentTypeVersion="22" ma:contentTypeDescription="Create a new document." ma:contentTypeScope="" ma:versionID="9d5b4b4c8adcefd0eb429007e9023168">
  <xsd:schema xmlns:xsd="http://www.w3.org/2001/XMLSchema" xmlns:xs="http://www.w3.org/2001/XMLSchema" xmlns:p="http://schemas.microsoft.com/office/2006/metadata/properties" xmlns:ns2="70767a28-36b3-4815-851a-dc79c68cdb47" xmlns:ns3="b15d0062-5bba-460e-b013-1747c0f6213d" targetNamespace="http://schemas.microsoft.com/office/2006/metadata/properties" ma:root="true" ma:fieldsID="d9e13a9720927dd54034b53d9e8e0e1f" ns2:_="" ns3:_="">
    <xsd:import namespace="70767a28-36b3-4815-851a-dc79c68cdb47"/>
    <xsd:import namespace="b15d0062-5bba-460e-b013-1747c0f621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Date" minOccurs="0"/>
                <xsd:element ref="ns2:MediaServiceSearchProperties" minOccurs="0"/>
                <xsd:element ref="ns2:MediaServiceBillingMetadata" minOccurs="0"/>
                <xsd:element ref="ns2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67a28-36b3-4815-851a-dc79c68cd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6457994-f6e1-4400-b672-db433f5d32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Date" ma:index="25" nillable="true" ma:displayName="Date" ma:format="DateOnly" ma:internalName="Date">
      <xsd:simpleType>
        <xsd:restriction base="dms:DateTime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PERSON" ma:index="28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d0062-5bba-460e-b013-1747c0f621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ec2848b-a62d-4988-b974-a8245c582e43}" ma:internalName="TaxCatchAll" ma:showField="CatchAllData" ma:web="b15d0062-5bba-460e-b013-1747c0f621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1E44CD-88DB-4198-99A3-777F6A8D77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C0BDF5-03EB-4CE1-96E5-F3CE3A65FBAB}">
  <ds:schemaRefs>
    <ds:schemaRef ds:uri="http://schemas.microsoft.com/office/2006/metadata/properties"/>
    <ds:schemaRef ds:uri="http://schemas.microsoft.com/office/infopath/2007/PartnerControls"/>
    <ds:schemaRef ds:uri="b15d0062-5bba-460e-b013-1747c0f6213d"/>
    <ds:schemaRef ds:uri="70767a28-36b3-4815-851a-dc79c68cdb47"/>
  </ds:schemaRefs>
</ds:datastoreItem>
</file>

<file path=customXml/itemProps3.xml><?xml version="1.0" encoding="utf-8"?>
<ds:datastoreItem xmlns:ds="http://schemas.openxmlformats.org/officeDocument/2006/customXml" ds:itemID="{498AF207-827F-4DD1-8059-F906E97EE4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601 RP - CAR FRAME CALCULATION</vt:lpstr>
      <vt:lpstr>'601 RP - CAR FRAME CALCULATION'!Print_Area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Andy Luczka</cp:lastModifiedBy>
  <cp:revision/>
  <cp:lastPrinted>2025-01-21T18:14:56Z</cp:lastPrinted>
  <dcterms:created xsi:type="dcterms:W3CDTF">2024-01-10T21:16:29Z</dcterms:created>
  <dcterms:modified xsi:type="dcterms:W3CDTF">2026-08-12T18:50:52Z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0x010100946A941BDBF874498344359A16557A6F</vt:lpwstr>
  </property>
  <property fmtid="{D5CDD505-2E9C-101B-9397-08002B2CF9AE}" pid="3" name="MediaServiceImageTags">
    <vt:lpwstr/>
  </property>
</Properties>
</file>